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colesmacstudio/Downloads/"/>
    </mc:Choice>
  </mc:AlternateContent>
  <xr:revisionPtr revIDLastSave="0" documentId="8_{A83AD84C-6F89-FD4A-BF05-377BF8BA733B}" xr6:coauthVersionLast="47" xr6:coauthVersionMax="47" xr10:uidLastSave="{00000000-0000-0000-0000-000000000000}"/>
  <bookViews>
    <workbookView xWindow="6180" yWindow="500" windowWidth="16380" windowHeight="8200" tabRatio="500" xr2:uid="{00000000-000D-0000-FFFF-FFFF00000000}"/>
  </bookViews>
  <sheets>
    <sheet name="Start Here" sheetId="1" r:id="rId1"/>
    <sheet name="INPUTS" sheetId="2" r:id="rId2"/>
    <sheet name="PROPERTY CALCULATOR" sheetId="3" r:id="rId3"/>
    <sheet name="BATCH PIPELINE" sheetId="4" r:id="rId4"/>
    <sheet name="MARKET REFERENC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28" i="4" l="1"/>
  <c r="R28" i="4"/>
  <c r="Q28" i="4"/>
  <c r="O28" i="4"/>
  <c r="N28" i="4"/>
  <c r="M28" i="4"/>
  <c r="L28" i="4"/>
  <c r="K28" i="4"/>
  <c r="J28" i="4"/>
  <c r="I28" i="4"/>
  <c r="P28" i="4" s="1"/>
  <c r="S27" i="4"/>
  <c r="R27" i="4"/>
  <c r="Q27" i="4"/>
  <c r="O27" i="4"/>
  <c r="N27" i="4"/>
  <c r="M27" i="4"/>
  <c r="L27" i="4"/>
  <c r="K27" i="4"/>
  <c r="J27" i="4"/>
  <c r="I27" i="4"/>
  <c r="P27" i="4" s="1"/>
  <c r="S26" i="4"/>
  <c r="R26" i="4"/>
  <c r="Q26" i="4"/>
  <c r="P26" i="4"/>
  <c r="O26" i="4"/>
  <c r="N26" i="4"/>
  <c r="M26" i="4"/>
  <c r="L26" i="4"/>
  <c r="K26" i="4"/>
  <c r="J26" i="4"/>
  <c r="I26" i="4"/>
  <c r="S25" i="4"/>
  <c r="R25" i="4"/>
  <c r="Q25" i="4"/>
  <c r="O25" i="4"/>
  <c r="N25" i="4"/>
  <c r="M25" i="4"/>
  <c r="L25" i="4"/>
  <c r="K25" i="4"/>
  <c r="J25" i="4"/>
  <c r="I25" i="4"/>
  <c r="P25" i="4" s="1"/>
  <c r="S24" i="4"/>
  <c r="R24" i="4"/>
  <c r="Q24" i="4"/>
  <c r="P24" i="4"/>
  <c r="O24" i="4"/>
  <c r="N24" i="4"/>
  <c r="M24" i="4"/>
  <c r="L24" i="4"/>
  <c r="K24" i="4"/>
  <c r="J24" i="4"/>
  <c r="I24" i="4"/>
  <c r="S23" i="4"/>
  <c r="R23" i="4"/>
  <c r="Q23" i="4"/>
  <c r="O23" i="4"/>
  <c r="N23" i="4"/>
  <c r="M23" i="4"/>
  <c r="L23" i="4"/>
  <c r="K23" i="4"/>
  <c r="J23" i="4"/>
  <c r="I23" i="4"/>
  <c r="P23" i="4" s="1"/>
  <c r="S22" i="4"/>
  <c r="R22" i="4"/>
  <c r="Q22" i="4"/>
  <c r="O22" i="4"/>
  <c r="N22" i="4"/>
  <c r="M22" i="4"/>
  <c r="L22" i="4"/>
  <c r="K22" i="4"/>
  <c r="J22" i="4"/>
  <c r="I22" i="4"/>
  <c r="P22" i="4" s="1"/>
  <c r="S21" i="4"/>
  <c r="R21" i="4"/>
  <c r="Q21" i="4"/>
  <c r="O21" i="4"/>
  <c r="N21" i="4"/>
  <c r="M21" i="4"/>
  <c r="L21" i="4"/>
  <c r="K21" i="4"/>
  <c r="J21" i="4"/>
  <c r="I21" i="4"/>
  <c r="P21" i="4" s="1"/>
  <c r="S20" i="4"/>
  <c r="R20" i="4"/>
  <c r="Q20" i="4"/>
  <c r="O20" i="4"/>
  <c r="N20" i="4"/>
  <c r="M20" i="4"/>
  <c r="L20" i="4"/>
  <c r="K20" i="4"/>
  <c r="J20" i="4"/>
  <c r="I20" i="4"/>
  <c r="P20" i="4" s="1"/>
  <c r="S19" i="4"/>
  <c r="R19" i="4"/>
  <c r="Q19" i="4"/>
  <c r="P19" i="4"/>
  <c r="O19" i="4"/>
  <c r="N19" i="4"/>
  <c r="M19" i="4"/>
  <c r="L19" i="4"/>
  <c r="K19" i="4"/>
  <c r="J19" i="4"/>
  <c r="I19" i="4"/>
  <c r="S18" i="4"/>
  <c r="R18" i="4"/>
  <c r="Q18" i="4"/>
  <c r="O18" i="4"/>
  <c r="N18" i="4"/>
  <c r="M18" i="4"/>
  <c r="L18" i="4"/>
  <c r="K18" i="4"/>
  <c r="J18" i="4"/>
  <c r="I18" i="4"/>
  <c r="P18" i="4" s="1"/>
  <c r="S17" i="4"/>
  <c r="R17" i="4"/>
  <c r="Q17" i="4"/>
  <c r="O17" i="4"/>
  <c r="N17" i="4"/>
  <c r="M17" i="4"/>
  <c r="L17" i="4"/>
  <c r="K17" i="4"/>
  <c r="J17" i="4"/>
  <c r="I17" i="4"/>
  <c r="P17" i="4" s="1"/>
  <c r="S16" i="4"/>
  <c r="R16" i="4"/>
  <c r="Q16" i="4"/>
  <c r="P16" i="4"/>
  <c r="O16" i="4"/>
  <c r="N16" i="4"/>
  <c r="M16" i="4"/>
  <c r="L16" i="4"/>
  <c r="K16" i="4"/>
  <c r="J16" i="4"/>
  <c r="I16" i="4"/>
  <c r="S15" i="4"/>
  <c r="R15" i="4"/>
  <c r="Q15" i="4"/>
  <c r="O15" i="4"/>
  <c r="N15" i="4"/>
  <c r="M15" i="4"/>
  <c r="L15" i="4"/>
  <c r="K15" i="4"/>
  <c r="J15" i="4"/>
  <c r="I15" i="4"/>
  <c r="P15" i="4" s="1"/>
  <c r="S14" i="4"/>
  <c r="R14" i="4"/>
  <c r="Q14" i="4"/>
  <c r="P14" i="4"/>
  <c r="O14" i="4"/>
  <c r="N14" i="4"/>
  <c r="M14" i="4"/>
  <c r="L14" i="4"/>
  <c r="K14" i="4"/>
  <c r="J14" i="4"/>
  <c r="I14" i="4"/>
  <c r="S13" i="4"/>
  <c r="R13" i="4"/>
  <c r="Q13" i="4"/>
  <c r="O13" i="4"/>
  <c r="N13" i="4"/>
  <c r="M13" i="4"/>
  <c r="L13" i="4"/>
  <c r="K13" i="4"/>
  <c r="J13" i="4"/>
  <c r="I13" i="4"/>
  <c r="P13" i="4" s="1"/>
  <c r="S12" i="4"/>
  <c r="R12" i="4"/>
  <c r="Q12" i="4"/>
  <c r="O12" i="4"/>
  <c r="N12" i="4"/>
  <c r="M12" i="4"/>
  <c r="L12" i="4"/>
  <c r="K12" i="4"/>
  <c r="J12" i="4"/>
  <c r="I12" i="4"/>
  <c r="P12" i="4" s="1"/>
  <c r="S11" i="4"/>
  <c r="R11" i="4"/>
  <c r="Q11" i="4"/>
  <c r="O11" i="4"/>
  <c r="N11" i="4"/>
  <c r="M11" i="4"/>
  <c r="L11" i="4"/>
  <c r="K11" i="4"/>
  <c r="J11" i="4"/>
  <c r="I11" i="4"/>
  <c r="P11" i="4" s="1"/>
  <c r="S10" i="4"/>
  <c r="R10" i="4"/>
  <c r="Q10" i="4"/>
  <c r="O10" i="4"/>
  <c r="N10" i="4"/>
  <c r="M10" i="4"/>
  <c r="L10" i="4"/>
  <c r="K10" i="4"/>
  <c r="J10" i="4"/>
  <c r="I10" i="4"/>
  <c r="P10" i="4" s="1"/>
  <c r="S9" i="4"/>
  <c r="R9" i="4"/>
  <c r="Q9" i="4"/>
  <c r="P9" i="4"/>
  <c r="O9" i="4"/>
  <c r="N9" i="4"/>
  <c r="M9" i="4"/>
  <c r="L9" i="4"/>
  <c r="K9" i="4"/>
  <c r="J9" i="4"/>
  <c r="I9" i="4"/>
  <c r="S8" i="4"/>
  <c r="R8" i="4"/>
  <c r="Q8" i="4"/>
  <c r="O8" i="4"/>
  <c r="N8" i="4"/>
  <c r="M8" i="4"/>
  <c r="L8" i="4"/>
  <c r="K8" i="4"/>
  <c r="J8" i="4"/>
  <c r="I8" i="4"/>
  <c r="P8" i="4" s="1"/>
  <c r="S7" i="4"/>
  <c r="R7" i="4"/>
  <c r="Q7" i="4"/>
  <c r="O7" i="4"/>
  <c r="N7" i="4"/>
  <c r="M7" i="4"/>
  <c r="L7" i="4"/>
  <c r="K7" i="4"/>
  <c r="J7" i="4"/>
  <c r="I7" i="4"/>
  <c r="P7" i="4" s="1"/>
  <c r="I6" i="4"/>
  <c r="J6" i="4" s="1"/>
  <c r="K6" i="4" s="1"/>
  <c r="L6" i="4" s="1"/>
  <c r="J5" i="4"/>
  <c r="K5" i="4" s="1"/>
  <c r="L5" i="4" s="1"/>
  <c r="I5" i="4"/>
  <c r="K4" i="4"/>
  <c r="L4" i="4" s="1"/>
  <c r="J4" i="4"/>
  <c r="I4" i="4"/>
  <c r="C47" i="3"/>
  <c r="C46" i="3"/>
  <c r="C44" i="3"/>
  <c r="C43" i="3"/>
  <c r="C21" i="3"/>
  <c r="C20" i="3"/>
  <c r="C19" i="3"/>
  <c r="C17" i="3"/>
  <c r="C48" i="3" s="1"/>
  <c r="C12" i="3"/>
  <c r="C18" i="3" s="1"/>
  <c r="C22" i="3" s="1"/>
  <c r="C23" i="3" s="1"/>
  <c r="C24" i="3" s="1"/>
  <c r="C8" i="2"/>
  <c r="M4" i="4" l="1"/>
  <c r="R4" i="4" s="1"/>
  <c r="S4" i="4" s="1"/>
  <c r="P4" i="4"/>
  <c r="Q4" i="4"/>
  <c r="O4" i="4"/>
  <c r="N4" i="4"/>
  <c r="O5" i="4"/>
  <c r="Q5" i="4"/>
  <c r="N5" i="4"/>
  <c r="M5" i="4"/>
  <c r="R5" i="4" s="1"/>
  <c r="S5" i="4" s="1"/>
  <c r="N6" i="4"/>
  <c r="Q6" i="4"/>
  <c r="O6" i="4"/>
  <c r="M6" i="4"/>
  <c r="C30" i="3"/>
  <c r="C27" i="3"/>
  <c r="P5" i="4"/>
  <c r="P6" i="4"/>
  <c r="R6" i="4"/>
  <c r="S6" i="4" s="1"/>
  <c r="C28" i="3" l="1"/>
  <c r="C35" i="3" s="1"/>
  <c r="C36" i="3" s="1"/>
  <c r="C39" i="3"/>
  <c r="C34" i="3"/>
  <c r="C29" i="3"/>
  <c r="C33" i="3"/>
  <c r="C40" i="3" l="1"/>
  <c r="C45" i="3"/>
  <c r="C50" i="3" s="1"/>
</calcChain>
</file>

<file path=xl/sharedStrings.xml><?xml version="1.0" encoding="utf-8"?>
<sst xmlns="http://schemas.openxmlformats.org/spreadsheetml/2006/main" count="183" uniqueCount="177">
  <si>
    <t>Commercial Landscaping Pricing Engine</t>
  </si>
  <si>
    <t>MVP v1  |  NW Houston (Tomball / Spring / Cypress / Magnolia corridor)</t>
  </si>
  <si>
    <t>How this works</t>
  </si>
  <si>
    <t>1. Open the INPUTS tab. Edit only the yellow cells. Those are your friend's real cost numbers and pricing rules.</t>
  </si>
  <si>
    <t>2. Use PROPERTY CALCULATOR to price one property at a time. Type the measured areas in the yellow cells; price and review flags update automatically.</t>
  </si>
  <si>
    <t>3. Use BATCH PIPELINE to paste 15-20 properties at once. Each row prices itself and flags anything that needs your eyes before it goes out.</t>
  </si>
  <si>
    <t>4. MARKET REFERENCE shows the Texas benchmark numbers behind the defaults, with sources, so you can sanity-check or update them.</t>
  </si>
  <si>
    <t>The golden rule</t>
  </si>
  <si>
    <t>Blue/yellow = you change it.  Black = the model calculates it, leave it alone.</t>
  </si>
  <si>
    <t>What 'Needs Review = YES' means</t>
  </si>
  <si>
    <t>The property tripped a guardrail (too big, bed-heavy, high dollar value, low measurement confidence, or priced outside the market band).</t>
  </si>
  <si>
    <t>A human should eyeball it before the proposal is sent. This protects the margin, which is also your profit split.</t>
  </si>
  <si>
    <t>Target property profile for this MVP</t>
  </si>
  <si>
    <t>Primary ICP: self-storage facilities and small office / flex parks along SH-249, FM-2920, FM-1960, Grand Pkwy 99.</t>
  </si>
  <si>
    <t>Secondary: medical office buildings, churches, daycares / private schools. Large simple turf, single owner or manager, appearance matters.</t>
  </si>
  <si>
    <t>Avoid for now: big corporate campuses, malls, government, anything RFP-heavy or incumbent-locked.</t>
  </si>
  <si>
    <t>Note on the profit split</t>
  </si>
  <si>
    <t>Cole's cut on INPUTS is applied to GROSS profit (price minus direct crew + equipment cost), annualized per account.</t>
  </si>
  <si>
    <t>Finalize later whether the split is on gross profit or net of shared overhead. The cell is a placeholder at 50%.</t>
  </si>
  <si>
    <t>INPUTS  —  edit only the yellow cells</t>
  </si>
  <si>
    <t>CREW &amp; COST BASIS</t>
  </si>
  <si>
    <t>Crew size (people)</t>
  </si>
  <si>
    <t>Typical small commercial crew running together.</t>
  </si>
  <si>
    <t>Loaded labor cost ($ / person-hour)</t>
  </si>
  <si>
    <t>TX laborer wage ~$15-18/hr base, loaded ~1.4x for payroll tax, workers comp, GL insurance.</t>
  </si>
  <si>
    <t>Equipment + truck cost ($ / crew-hour)</t>
  </si>
  <si>
    <t>Fuel, maintenance, depreciation on mowers/trailer/truck.</t>
  </si>
  <si>
    <t>Crew cost ($ / hour)  [calc]</t>
  </si>
  <si>
    <t>Auto: (crew size x labor) + equipment.</t>
  </si>
  <si>
    <t>PRODUCTION RATES  (crew wall-clock minutes)</t>
  </si>
  <si>
    <t>Turf mow/edge/trim/blow (min per acre)</t>
  </si>
  <si>
    <t>Calibrated to commercial crew efficiency. Raise if turf is obstacle-heavy.</t>
  </si>
  <si>
    <t>Bed light maintenance (min per 1,000 sqft)</t>
  </si>
  <si>
    <t>Weekly light weed/check. Deep mulch/bed work is a separate enhancement, not in base.</t>
  </si>
  <si>
    <t>Fixed time per stop - load/unload/blow (min)</t>
  </si>
  <si>
    <t>Per-visit overhead regardless of size.</t>
  </si>
  <si>
    <t>Avg drive time between stops (min)</t>
  </si>
  <si>
    <t>Route density lever. Denser route = lower = better margin. Suburban advantage.</t>
  </si>
  <si>
    <t>Default site complexity factor (x)</t>
  </si>
  <si>
    <t>1.0 simple/open. 1.2-1.4 for islands, tight trimming, obstacles.</t>
  </si>
  <si>
    <t>PRICING &amp; MARGIN</t>
  </si>
  <si>
    <t>Target gross margin (%)</t>
  </si>
  <si>
    <t>Drives the quoted price.</t>
  </si>
  <si>
    <t>Minimum gross margin floor (%)</t>
  </si>
  <si>
    <t>Below this on any deal = review. Lowest you should accept.</t>
  </si>
  <si>
    <t>Minimum price per visit ($)</t>
  </si>
  <si>
    <t>Floor for tiny lots. Most commercial stops bill a minimum.</t>
  </si>
  <si>
    <t>Visits per year</t>
  </si>
  <si>
    <t>Houston: ~30 weekly in-season + ~10 biweekly shoulder. Billed as 12 equal months.</t>
  </si>
  <si>
    <t>PROFIT SPLIT  (your incentive)</t>
  </si>
  <si>
    <t>Cole's profit share (%)</t>
  </si>
  <si>
    <t>Applied to annual GROSS profit per account. Placeholder; finalize structure later.</t>
  </si>
  <si>
    <t>REVIEW GUARDRAILS  (trigger human eyes)</t>
  </si>
  <si>
    <t>Max turf acres before review</t>
  </si>
  <si>
    <t>Big properties = bigger risk if mismeasured.</t>
  </si>
  <si>
    <t>Bed-to-turf ratio review threshold (%)</t>
  </si>
  <si>
    <t>Bed-heavy sites are labor-heavy; base mow rate may underprice.</t>
  </si>
  <si>
    <t>Monthly price review threshold ($)</t>
  </si>
  <si>
    <t>High-dollar deals get a human look.</t>
  </si>
  <si>
    <t>Market floor ($/acre/visit)</t>
  </si>
  <si>
    <t>Below this (1+ acre lots) = likely underpriced / bad inputs.</t>
  </si>
  <si>
    <t>Market ceiling ($/acre/visit)</t>
  </si>
  <si>
    <t>Above this (1+ acre lots) = may lose the bid.</t>
  </si>
  <si>
    <t>PROPERTY CALCULATOR  —  price one property</t>
  </si>
  <si>
    <t>PROPERTY MEASUREMENTS  (from SiteRecon takeoff)</t>
  </si>
  <si>
    <t>Property name</t>
  </si>
  <si>
    <t>Example: 249 Self-Storage</t>
  </si>
  <si>
    <t>Address</t>
  </si>
  <si>
    <t>Tomball, TX</t>
  </si>
  <si>
    <t>Turf area (sqft)</t>
  </si>
  <si>
    <t>From takeoff.</t>
  </si>
  <si>
    <t>Bed area (sqft)</t>
  </si>
  <si>
    <t>Mulch / planting beds.</t>
  </si>
  <si>
    <t>Shrub count</t>
  </si>
  <si>
    <t>Informational for scope; trimming is a periodic add-on.</t>
  </si>
  <si>
    <t>Tree count</t>
  </si>
  <si>
    <t>Informational.</t>
  </si>
  <si>
    <t>Edging (linear ft)</t>
  </si>
  <si>
    <t>Informational; trim/edge already in turf rate.</t>
  </si>
  <si>
    <t>Site complexity factor (x)</t>
  </si>
  <si>
    <t>Override per property. 1.0 simple, up to 1.4 complex.</t>
  </si>
  <si>
    <t>Measurement confidence</t>
  </si>
  <si>
    <t>High</t>
  </si>
  <si>
    <t>High / Med / Low. Low triggers review.</t>
  </si>
  <si>
    <t>LABOR &amp; COST  (per visit)</t>
  </si>
  <si>
    <t>Turf acres</t>
  </si>
  <si>
    <t>Turf time (crew-min)</t>
  </si>
  <si>
    <t>Bed time (crew-min)</t>
  </si>
  <si>
    <t>Fixed per-stop (crew-min)</t>
  </si>
  <si>
    <t>Drive time (crew-min)</t>
  </si>
  <si>
    <t>Total crew-min / visit</t>
  </si>
  <si>
    <t>Crew-hours / visit</t>
  </si>
  <si>
    <t>Cost / visit ($)</t>
  </si>
  <si>
    <t>PRICE &amp; MARGIN</t>
  </si>
  <si>
    <t>Price / visit ($)</t>
  </si>
  <si>
    <t>Target margin, never below the per-visit minimum.</t>
  </si>
  <si>
    <t>Gross profit / visit ($)</t>
  </si>
  <si>
    <t>Gross margin (%)</t>
  </si>
  <si>
    <t>Min acceptable price / visit ($)</t>
  </si>
  <si>
    <t>Floor at the margin floor. Don't go below this.</t>
  </si>
  <si>
    <t>CONTRACT VALUE</t>
  </si>
  <si>
    <t>Monthly price (annualized, $)</t>
  </si>
  <si>
    <t>Bill this each month, 12 equal payments.</t>
  </si>
  <si>
    <t>Annual price ($)</t>
  </si>
  <si>
    <t>Annual gross profit ($)</t>
  </si>
  <si>
    <t>Cole's annual cut ($)</t>
  </si>
  <si>
    <t>Your share of this account per year.</t>
  </si>
  <si>
    <t>MARKET SANITY CHECK</t>
  </si>
  <si>
    <t>Implied $ / acre / visit</t>
  </si>
  <si>
    <t>Compare to $50-150/acre band (meaningful at 1+ acre).</t>
  </si>
  <si>
    <t>Implied $ / acre / month</t>
  </si>
  <si>
    <t>REVIEW FLAGS</t>
  </si>
  <si>
    <t>Large property</t>
  </si>
  <si>
    <t>Bed-heavy</t>
  </si>
  <si>
    <t>High-value</t>
  </si>
  <si>
    <t>Below market floor</t>
  </si>
  <si>
    <t>Above market ceiling</t>
  </si>
  <si>
    <t>NEEDS HUMAN REVIEW?</t>
  </si>
  <si>
    <t>BATCH PIPELINE  —  paste your 15-20 MVP properties in the yellow columns (A-H). Everything else auto-calculates.</t>
  </si>
  <si>
    <t>Property</t>
  </si>
  <si>
    <t>Turf sqft</t>
  </si>
  <si>
    <t>Bed sqft</t>
  </si>
  <si>
    <t>Shrubs</t>
  </si>
  <si>
    <t>Trees</t>
  </si>
  <si>
    <t>Complexity</t>
  </si>
  <si>
    <t>Confidence</t>
  </si>
  <si>
    <t>Crew-hrs/visit</t>
  </si>
  <si>
    <t>Cost/visit</t>
  </si>
  <si>
    <t>Price/visit</t>
  </si>
  <si>
    <t>Monthly</t>
  </si>
  <si>
    <t>Annual</t>
  </si>
  <si>
    <t>Margin %</t>
  </si>
  <si>
    <t>$/acre/visit</t>
  </si>
  <si>
    <t>Cole annual cut</t>
  </si>
  <si>
    <t>Flags</t>
  </si>
  <si>
    <t>Needs review</t>
  </si>
  <si>
    <t>249 Self-Storage</t>
  </si>
  <si>
    <t>SH-249, Tomball</t>
  </si>
  <si>
    <t>Tomball Office Park</t>
  </si>
  <si>
    <t>FM-2920, Tomball</t>
  </si>
  <si>
    <t>Magnolia Community Church</t>
  </si>
  <si>
    <t>FM-1488, Magnolia</t>
  </si>
  <si>
    <t>Med</t>
  </si>
  <si>
    <t>MARKET REFERENCE  —  Texas / Houston benchmarks behind the defaults</t>
  </si>
  <si>
    <t>Benchmark</t>
  </si>
  <si>
    <t>Value</t>
  </si>
  <si>
    <t>Source</t>
  </si>
  <si>
    <t>Commercial mowing, lots &lt; 5 acres</t>
  </si>
  <si>
    <t>$50-150 / acre / week</t>
  </si>
  <si>
    <t>HomeGuide / GreenPal, 2026, Houston TX</t>
  </si>
  <si>
    <t>Commercial mowing, lots 5+ acres</t>
  </si>
  <si>
    <t>$25-60 / acre / week</t>
  </si>
  <si>
    <t>HomeGuide commercial lawn care, Feb 2026</t>
  </si>
  <si>
    <t>Full-service commercial maintenance</t>
  </si>
  <si>
    <t>$800-1,600 / acre / month</t>
  </si>
  <si>
    <t>GreenPal Houston lawn care, May 2026</t>
  </si>
  <si>
    <t>Commercial labor (billed) per worker</t>
  </si>
  <si>
    <t>$40-80 / hour</t>
  </si>
  <si>
    <t>HomeGuide commercial, Feb 2026</t>
  </si>
  <si>
    <t>Suburban route advantage</t>
  </si>
  <si>
    <t>Lower cost vs Inner Loop (30-40% loop premium)</t>
  </si>
  <si>
    <t>GreenPal Houston, 2026 (Cypress/Woodlands stack stops)</t>
  </si>
  <si>
    <t>Edging</t>
  </si>
  <si>
    <t>$0.50-1.00 / linear ft</t>
  </si>
  <si>
    <t>HomeGuide commercial, 2026</t>
  </si>
  <si>
    <t>Shrub / bush trimming (periodic)</t>
  </si>
  <si>
    <t>$5-20 per bush</t>
  </si>
  <si>
    <t>Houston growing season</t>
  </si>
  <si>
    <t>Weekly ~Mar-Oct, biweekly shoulder</t>
  </si>
  <si>
    <t>GreenPal / warm-season turf (Bermuda, St. Aug)</t>
  </si>
  <si>
    <t>Takeoff tool (SiteRecon)</t>
  </si>
  <si>
    <t>$39/mo Scout up to 10 ac; $250-500/mo flat tiers; open API</t>
  </si>
  <si>
    <t>SiteRecon / Capterra, Mar 2026</t>
  </si>
  <si>
    <t>Cost per estimate with auto-measurement</t>
  </si>
  <si>
    <t>~$5-10 vs $150-300 manual</t>
  </si>
  <si>
    <t>SiteRecon, May 2026</t>
  </si>
  <si>
    <t>These are educated defaults. Replace with your friend's actual numbers as you learn them from real jobs.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</si>
</sst>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"/>
    <numFmt numFmtId="165" formatCode="0.0\x"/>
    <numFmt numFmtId="166" formatCode="0.0%"/>
    <numFmt numFmtId="167" formatCode="\$#,##0"/>
    <numFmt numFmtId="168" formatCode="0.0"/>
  </numFmts>
  <fonts count="15" x14ac:knownFonts="1">
    <font>
      <sz val="11"/>
      <color theme="1"/>
      <name val="Calibri"/>
      <family val="2"/>
      <charset val="1"/>
    </font>
    <font>
      <b/>
      <sz val="16"/>
      <color rgb="FF1F4E2C"/>
      <name val="Arial"/>
      <family val="2"/>
    </font>
    <font>
      <i/>
      <sz val="10"/>
      <color rgb="FF555555"/>
      <name val="Arial"/>
      <family val="2"/>
    </font>
    <font>
      <b/>
      <sz val="11"/>
      <color rgb="FF1F4E2C"/>
      <name val="Arial"/>
      <family val="2"/>
    </font>
    <font>
      <sz val="10"/>
      <color rgb="FF000000"/>
      <name val="Arial"/>
      <family val="2"/>
    </font>
    <font>
      <b/>
      <sz val="14"/>
      <color rgb="FF1F4E2C"/>
      <name val="Arial"/>
      <family val="2"/>
    </font>
    <font>
      <b/>
      <sz val="10"/>
      <color rgb="FFFFFFFF"/>
      <name val="Arial"/>
      <family val="2"/>
    </font>
    <font>
      <b/>
      <sz val="10"/>
      <color rgb="FF0000FF"/>
      <name val="Arial"/>
      <family val="2"/>
    </font>
    <font>
      <i/>
      <sz val="9"/>
      <color rgb="FF555555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2"/>
      <color rgb="FF1F4E2C"/>
      <name val="Arial"/>
      <family val="2"/>
    </font>
    <font>
      <sz val="10"/>
      <color rgb="FF0000FF"/>
      <name val="Arial"/>
      <family val="2"/>
    </font>
    <font>
      <i/>
      <sz val="10"/>
      <color rgb="FFC0392B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2C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EAF1FB"/>
        <bgColor rgb="FFFFFFFF"/>
      </patternFill>
    </fill>
    <fill>
      <patternFill patternType="solid">
        <fgColor rgb="FFC0392B"/>
        <bgColor rgb="FF99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/>
    <xf numFmtId="0" fontId="0" fillId="2" borderId="0" xfId="0" applyFill="1"/>
    <xf numFmtId="0" fontId="7" fillId="3" borderId="1" xfId="0" applyFont="1" applyFill="1" applyBorder="1" applyAlignment="1">
      <alignment horizontal="center"/>
    </xf>
    <xf numFmtId="0" fontId="8" fillId="0" borderId="0" xfId="0" applyFont="1"/>
    <xf numFmtId="164" fontId="9" fillId="0" borderId="1" xfId="0" applyNumberFormat="1" applyFont="1" applyBorder="1" applyAlignment="1">
      <alignment horizontal="center"/>
    </xf>
    <xf numFmtId="165" fontId="7" fillId="3" borderId="1" xfId="0" applyNumberFormat="1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68" fontId="7" fillId="3" borderId="1" xfId="0" applyNumberFormat="1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7" fontId="9" fillId="4" borderId="1" xfId="0" applyNumberFormat="1" applyFont="1" applyFill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0" xfId="0" applyFont="1"/>
    <xf numFmtId="0" fontId="11" fillId="5" borderId="1" xfId="0" applyFont="1" applyFill="1" applyBorder="1" applyAlignment="1">
      <alignment horizontal="center"/>
    </xf>
    <xf numFmtId="0" fontId="12" fillId="0" borderId="0" xfId="0" applyFont="1"/>
    <xf numFmtId="0" fontId="6" fillId="2" borderId="1" xfId="0" applyFont="1" applyFill="1" applyBorder="1" applyAlignment="1">
      <alignment horizontal="center" wrapText="1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/>
    <xf numFmtId="0" fontId="6" fillId="2" borderId="1" xfId="0" applyFont="1" applyFill="1" applyBorder="1"/>
    <xf numFmtId="0" fontId="4" fillId="0" borderId="1" xfId="0" applyFont="1" applyBorder="1"/>
    <xf numFmtId="0" fontId="9" fillId="0" borderId="1" xfId="0" applyFont="1" applyBorder="1"/>
    <xf numFmtId="0" fontId="8" fillId="0" borderId="1" xfId="0" applyFont="1" applyBorder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4E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5"/>
  <sheetViews>
    <sheetView showGridLines="0" tabSelected="1" zoomScaleNormal="100" workbookViewId="0"/>
  </sheetViews>
  <sheetFormatPr baseColWidth="10" defaultColWidth="8.6640625" defaultRowHeight="15" x14ac:dyDescent="0.2"/>
  <cols>
    <col min="1" max="1" width="2" customWidth="1"/>
    <col min="2" max="2" width="120" customWidth="1"/>
  </cols>
  <sheetData>
    <row r="2" spans="2:2" ht="20" x14ac:dyDescent="0.2">
      <c r="B2" s="1" t="s">
        <v>0</v>
      </c>
    </row>
    <row r="3" spans="2:2" x14ac:dyDescent="0.2">
      <c r="B3" s="2" t="s">
        <v>1</v>
      </c>
    </row>
    <row r="5" spans="2:2" x14ac:dyDescent="0.2">
      <c r="B5" s="3" t="s">
        <v>2</v>
      </c>
    </row>
    <row r="6" spans="2:2" x14ac:dyDescent="0.2">
      <c r="B6" s="4" t="s">
        <v>3</v>
      </c>
    </row>
    <row r="7" spans="2:2" x14ac:dyDescent="0.2">
      <c r="B7" s="4" t="s">
        <v>4</v>
      </c>
    </row>
    <row r="8" spans="2:2" x14ac:dyDescent="0.2">
      <c r="B8" s="4" t="s">
        <v>5</v>
      </c>
    </row>
    <row r="9" spans="2:2" x14ac:dyDescent="0.2">
      <c r="B9" s="4" t="s">
        <v>6</v>
      </c>
    </row>
    <row r="10" spans="2:2" x14ac:dyDescent="0.2">
      <c r="B10" s="4"/>
    </row>
    <row r="11" spans="2:2" x14ac:dyDescent="0.2">
      <c r="B11" s="3" t="s">
        <v>7</v>
      </c>
    </row>
    <row r="12" spans="2:2" x14ac:dyDescent="0.2">
      <c r="B12" s="4" t="s">
        <v>8</v>
      </c>
    </row>
    <row r="13" spans="2:2" x14ac:dyDescent="0.2">
      <c r="B13" s="4"/>
    </row>
    <row r="14" spans="2:2" x14ac:dyDescent="0.2">
      <c r="B14" s="3" t="s">
        <v>9</v>
      </c>
    </row>
    <row r="15" spans="2:2" x14ac:dyDescent="0.2">
      <c r="B15" s="4" t="s">
        <v>10</v>
      </c>
    </row>
    <row r="16" spans="2:2" x14ac:dyDescent="0.2">
      <c r="B16" s="4" t="s">
        <v>11</v>
      </c>
    </row>
    <row r="17" spans="2:2" x14ac:dyDescent="0.2">
      <c r="B17" s="4"/>
    </row>
    <row r="18" spans="2:2" x14ac:dyDescent="0.2">
      <c r="B18" s="3" t="s">
        <v>12</v>
      </c>
    </row>
    <row r="19" spans="2:2" x14ac:dyDescent="0.2">
      <c r="B19" s="4" t="s">
        <v>13</v>
      </c>
    </row>
    <row r="20" spans="2:2" x14ac:dyDescent="0.2">
      <c r="B20" s="4" t="s">
        <v>14</v>
      </c>
    </row>
    <row r="21" spans="2:2" x14ac:dyDescent="0.2">
      <c r="B21" s="4" t="s">
        <v>15</v>
      </c>
    </row>
    <row r="22" spans="2:2" x14ac:dyDescent="0.2">
      <c r="B22" s="4"/>
    </row>
    <row r="23" spans="2:2" x14ac:dyDescent="0.2">
      <c r="B23" s="3" t="s">
        <v>16</v>
      </c>
    </row>
    <row r="24" spans="2:2" x14ac:dyDescent="0.2">
      <c r="B24" s="4" t="s">
        <v>17</v>
      </c>
    </row>
    <row r="25" spans="2:2" x14ac:dyDescent="0.2">
      <c r="B25" s="4" t="s">
        <v>18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1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6" customWidth="1"/>
    <col min="3" max="3" width="14" customWidth="1"/>
    <col min="4" max="4" width="3" customWidth="1"/>
    <col min="5" max="5" width="70" customWidth="1"/>
  </cols>
  <sheetData>
    <row r="2" spans="2:5" ht="18" x14ac:dyDescent="0.2">
      <c r="B2" s="5" t="s">
        <v>19</v>
      </c>
    </row>
    <row r="4" spans="2:5" x14ac:dyDescent="0.2">
      <c r="B4" s="6" t="s">
        <v>20</v>
      </c>
      <c r="C4" s="7"/>
    </row>
    <row r="5" spans="2:5" x14ac:dyDescent="0.2">
      <c r="B5" s="4" t="s">
        <v>21</v>
      </c>
      <c r="C5" s="8">
        <v>3</v>
      </c>
      <c r="E5" s="9" t="s">
        <v>22</v>
      </c>
    </row>
    <row r="6" spans="2:5" x14ac:dyDescent="0.2">
      <c r="B6" s="4" t="s">
        <v>23</v>
      </c>
      <c r="C6" s="8">
        <v>22</v>
      </c>
      <c r="E6" s="9" t="s">
        <v>24</v>
      </c>
    </row>
    <row r="7" spans="2:5" x14ac:dyDescent="0.2">
      <c r="B7" s="4" t="s">
        <v>25</v>
      </c>
      <c r="C7" s="8">
        <v>30</v>
      </c>
      <c r="E7" s="9" t="s">
        <v>26</v>
      </c>
    </row>
    <row r="8" spans="2:5" x14ac:dyDescent="0.2">
      <c r="B8" s="4" t="s">
        <v>27</v>
      </c>
      <c r="C8" s="10">
        <f>C5*C6+C7</f>
        <v>96</v>
      </c>
      <c r="E8" s="9" t="s">
        <v>28</v>
      </c>
    </row>
    <row r="10" spans="2:5" x14ac:dyDescent="0.2">
      <c r="B10" s="6" t="s">
        <v>29</v>
      </c>
      <c r="C10" s="7"/>
    </row>
    <row r="11" spans="2:5" x14ac:dyDescent="0.2">
      <c r="B11" s="4" t="s">
        <v>30</v>
      </c>
      <c r="C11" s="8">
        <v>38</v>
      </c>
      <c r="E11" s="9" t="s">
        <v>31</v>
      </c>
    </row>
    <row r="12" spans="2:5" x14ac:dyDescent="0.2">
      <c r="B12" s="4" t="s">
        <v>32</v>
      </c>
      <c r="C12" s="8">
        <v>4</v>
      </c>
      <c r="E12" s="9" t="s">
        <v>33</v>
      </c>
    </row>
    <row r="13" spans="2:5" x14ac:dyDescent="0.2">
      <c r="B13" s="4" t="s">
        <v>34</v>
      </c>
      <c r="C13" s="8">
        <v>10</v>
      </c>
      <c r="E13" s="9" t="s">
        <v>35</v>
      </c>
    </row>
    <row r="14" spans="2:5" x14ac:dyDescent="0.2">
      <c r="B14" s="4" t="s">
        <v>36</v>
      </c>
      <c r="C14" s="8">
        <v>10</v>
      </c>
      <c r="E14" s="9" t="s">
        <v>37</v>
      </c>
    </row>
    <row r="15" spans="2:5" x14ac:dyDescent="0.2">
      <c r="B15" s="4" t="s">
        <v>38</v>
      </c>
      <c r="C15" s="11">
        <v>1</v>
      </c>
      <c r="E15" s="9" t="s">
        <v>39</v>
      </c>
    </row>
    <row r="17" spans="2:5" x14ac:dyDescent="0.2">
      <c r="B17" s="6" t="s">
        <v>40</v>
      </c>
      <c r="C17" s="7"/>
    </row>
    <row r="18" spans="2:5" x14ac:dyDescent="0.2">
      <c r="B18" s="4" t="s">
        <v>41</v>
      </c>
      <c r="C18" s="12">
        <v>0.4</v>
      </c>
      <c r="E18" s="9" t="s">
        <v>42</v>
      </c>
    </row>
    <row r="19" spans="2:5" x14ac:dyDescent="0.2">
      <c r="B19" s="4" t="s">
        <v>43</v>
      </c>
      <c r="C19" s="12">
        <v>0.35</v>
      </c>
      <c r="E19" s="9" t="s">
        <v>44</v>
      </c>
    </row>
    <row r="20" spans="2:5" x14ac:dyDescent="0.2">
      <c r="B20" s="4" t="s">
        <v>45</v>
      </c>
      <c r="C20" s="13">
        <v>70</v>
      </c>
      <c r="E20" s="9" t="s">
        <v>46</v>
      </c>
    </row>
    <row r="21" spans="2:5" x14ac:dyDescent="0.2">
      <c r="B21" s="4" t="s">
        <v>47</v>
      </c>
      <c r="C21" s="8">
        <v>40</v>
      </c>
      <c r="E21" s="9" t="s">
        <v>48</v>
      </c>
    </row>
    <row r="23" spans="2:5" x14ac:dyDescent="0.2">
      <c r="B23" s="6" t="s">
        <v>49</v>
      </c>
      <c r="C23" s="7"/>
    </row>
    <row r="24" spans="2:5" x14ac:dyDescent="0.2">
      <c r="B24" s="4" t="s">
        <v>50</v>
      </c>
      <c r="C24" s="12">
        <v>0.5</v>
      </c>
      <c r="E24" s="9" t="s">
        <v>51</v>
      </c>
    </row>
    <row r="26" spans="2:5" x14ac:dyDescent="0.2">
      <c r="B26" s="6" t="s">
        <v>52</v>
      </c>
      <c r="C26" s="7"/>
    </row>
    <row r="27" spans="2:5" x14ac:dyDescent="0.2">
      <c r="B27" s="4" t="s">
        <v>53</v>
      </c>
      <c r="C27" s="14">
        <v>3</v>
      </c>
      <c r="E27" s="9" t="s">
        <v>54</v>
      </c>
    </row>
    <row r="28" spans="2:5" x14ac:dyDescent="0.2">
      <c r="B28" s="4" t="s">
        <v>55</v>
      </c>
      <c r="C28" s="12">
        <v>0.2</v>
      </c>
      <c r="E28" s="9" t="s">
        <v>56</v>
      </c>
    </row>
    <row r="29" spans="2:5" x14ac:dyDescent="0.2">
      <c r="B29" s="4" t="s">
        <v>57</v>
      </c>
      <c r="C29" s="13">
        <v>1500</v>
      </c>
      <c r="E29" s="9" t="s">
        <v>58</v>
      </c>
    </row>
    <row r="30" spans="2:5" x14ac:dyDescent="0.2">
      <c r="B30" s="4" t="s">
        <v>59</v>
      </c>
      <c r="C30" s="13">
        <v>50</v>
      </c>
      <c r="E30" s="9" t="s">
        <v>60</v>
      </c>
    </row>
    <row r="31" spans="2:5" x14ac:dyDescent="0.2">
      <c r="B31" s="4" t="s">
        <v>61</v>
      </c>
      <c r="C31" s="13">
        <v>150</v>
      </c>
      <c r="E31" s="9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50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40" customWidth="1"/>
    <col min="3" max="3" width="18" customWidth="1"/>
    <col min="4" max="4" width="3" customWidth="1"/>
    <col min="5" max="5" width="60" customWidth="1"/>
  </cols>
  <sheetData>
    <row r="2" spans="2:5" ht="18" x14ac:dyDescent="0.2">
      <c r="B2" s="5" t="s">
        <v>63</v>
      </c>
    </row>
    <row r="4" spans="2:5" x14ac:dyDescent="0.2">
      <c r="B4" s="6" t="s">
        <v>64</v>
      </c>
      <c r="C4" s="7"/>
    </row>
    <row r="5" spans="2:5" x14ac:dyDescent="0.2">
      <c r="B5" s="4" t="s">
        <v>65</v>
      </c>
      <c r="C5" s="8" t="s">
        <v>66</v>
      </c>
    </row>
    <row r="6" spans="2:5" x14ac:dyDescent="0.2">
      <c r="B6" s="4" t="s">
        <v>67</v>
      </c>
      <c r="C6" s="8" t="s">
        <v>68</v>
      </c>
    </row>
    <row r="7" spans="2:5" x14ac:dyDescent="0.2">
      <c r="B7" s="4" t="s">
        <v>69</v>
      </c>
      <c r="C7" s="8">
        <v>35000</v>
      </c>
      <c r="E7" s="9" t="s">
        <v>70</v>
      </c>
    </row>
    <row r="8" spans="2:5" x14ac:dyDescent="0.2">
      <c r="B8" s="4" t="s">
        <v>71</v>
      </c>
      <c r="C8" s="8">
        <v>1500</v>
      </c>
      <c r="E8" s="9" t="s">
        <v>72</v>
      </c>
    </row>
    <row r="9" spans="2:5" x14ac:dyDescent="0.2">
      <c r="B9" s="4" t="s">
        <v>73</v>
      </c>
      <c r="C9" s="8">
        <v>20</v>
      </c>
      <c r="E9" s="9" t="s">
        <v>74</v>
      </c>
    </row>
    <row r="10" spans="2:5" x14ac:dyDescent="0.2">
      <c r="B10" s="4" t="s">
        <v>75</v>
      </c>
      <c r="C10" s="8">
        <v>6</v>
      </c>
      <c r="E10" s="9" t="s">
        <v>76</v>
      </c>
    </row>
    <row r="11" spans="2:5" x14ac:dyDescent="0.2">
      <c r="B11" s="4" t="s">
        <v>77</v>
      </c>
      <c r="C11" s="8">
        <v>600</v>
      </c>
      <c r="E11" s="9" t="s">
        <v>78</v>
      </c>
    </row>
    <row r="12" spans="2:5" x14ac:dyDescent="0.2">
      <c r="B12" s="4" t="s">
        <v>79</v>
      </c>
      <c r="C12" s="11">
        <f>INPUTS!C15</f>
        <v>1</v>
      </c>
      <c r="E12" s="9" t="s">
        <v>80</v>
      </c>
    </row>
    <row r="13" spans="2:5" x14ac:dyDescent="0.2">
      <c r="B13" s="4" t="s">
        <v>81</v>
      </c>
      <c r="C13" s="8" t="s">
        <v>82</v>
      </c>
      <c r="E13" s="9" t="s">
        <v>83</v>
      </c>
    </row>
    <row r="16" spans="2:5" x14ac:dyDescent="0.2">
      <c r="B16" s="6" t="s">
        <v>84</v>
      </c>
      <c r="C16" s="7"/>
    </row>
    <row r="17" spans="2:5" x14ac:dyDescent="0.2">
      <c r="B17" s="4" t="s">
        <v>85</v>
      </c>
      <c r="C17" s="15">
        <f>C7/43560</f>
        <v>0.80348943985307619</v>
      </c>
    </row>
    <row r="18" spans="2:5" x14ac:dyDescent="0.2">
      <c r="B18" s="4" t="s">
        <v>86</v>
      </c>
      <c r="C18" s="16">
        <f>C17*INPUTS!$C$11*C12</f>
        <v>30.532598714416896</v>
      </c>
    </row>
    <row r="19" spans="2:5" x14ac:dyDescent="0.2">
      <c r="B19" s="4" t="s">
        <v>87</v>
      </c>
      <c r="C19" s="16">
        <f>(C8/1000)*INPUTS!$C$12*C12</f>
        <v>6</v>
      </c>
    </row>
    <row r="20" spans="2:5" x14ac:dyDescent="0.2">
      <c r="B20" s="4" t="s">
        <v>88</v>
      </c>
      <c r="C20" s="16">
        <f>INPUTS!$C$13</f>
        <v>10</v>
      </c>
    </row>
    <row r="21" spans="2:5" x14ac:dyDescent="0.2">
      <c r="B21" s="4" t="s">
        <v>89</v>
      </c>
      <c r="C21" s="16">
        <f>INPUTS!$C$14</f>
        <v>10</v>
      </c>
    </row>
    <row r="22" spans="2:5" x14ac:dyDescent="0.2">
      <c r="B22" s="4" t="s">
        <v>90</v>
      </c>
      <c r="C22" s="16">
        <f>SUM(C18:C21)</f>
        <v>56.532598714416892</v>
      </c>
    </row>
    <row r="23" spans="2:5" x14ac:dyDescent="0.2">
      <c r="B23" s="4" t="s">
        <v>91</v>
      </c>
      <c r="C23" s="15">
        <f>C22/60</f>
        <v>0.94220997857361488</v>
      </c>
    </row>
    <row r="24" spans="2:5" x14ac:dyDescent="0.2">
      <c r="B24" s="4" t="s">
        <v>92</v>
      </c>
      <c r="C24" s="17">
        <f>C23*INPUTS!$C$8</f>
        <v>90.452157943067022</v>
      </c>
    </row>
    <row r="26" spans="2:5" x14ac:dyDescent="0.2">
      <c r="B26" s="6" t="s">
        <v>93</v>
      </c>
      <c r="C26" s="7"/>
    </row>
    <row r="27" spans="2:5" x14ac:dyDescent="0.2">
      <c r="B27" s="4" t="s">
        <v>94</v>
      </c>
      <c r="C27" s="18">
        <f>MAX(C24/(1-INPUTS!$C$18),INPUTS!$C$20)</f>
        <v>150.75359657177839</v>
      </c>
      <c r="E27" s="9" t="s">
        <v>95</v>
      </c>
    </row>
    <row r="28" spans="2:5" x14ac:dyDescent="0.2">
      <c r="B28" s="4" t="s">
        <v>96</v>
      </c>
      <c r="C28" s="17">
        <f>C27-C24</f>
        <v>60.301438628711367</v>
      </c>
    </row>
    <row r="29" spans="2:5" x14ac:dyDescent="0.2">
      <c r="B29" s="4" t="s">
        <v>97</v>
      </c>
      <c r="C29" s="19">
        <f>IF(C27=0,0,C28/C27)</f>
        <v>0.40000000000000008</v>
      </c>
    </row>
    <row r="30" spans="2:5" x14ac:dyDescent="0.2">
      <c r="B30" s="4" t="s">
        <v>98</v>
      </c>
      <c r="C30" s="17">
        <f>MAX(C24/(1-INPUTS!$C$19),INPUTS!$C$20)</f>
        <v>139.15716606625696</v>
      </c>
      <c r="E30" s="9" t="s">
        <v>99</v>
      </c>
    </row>
    <row r="32" spans="2:5" x14ac:dyDescent="0.2">
      <c r="B32" s="6" t="s">
        <v>100</v>
      </c>
      <c r="C32" s="7"/>
    </row>
    <row r="33" spans="2:5" x14ac:dyDescent="0.2">
      <c r="B33" s="4" t="s">
        <v>101</v>
      </c>
      <c r="C33" s="20">
        <f>C27*INPUTS!$C$21/12</f>
        <v>502.51198857259465</v>
      </c>
      <c r="E33" s="9" t="s">
        <v>102</v>
      </c>
    </row>
    <row r="34" spans="2:5" x14ac:dyDescent="0.2">
      <c r="B34" s="4" t="s">
        <v>103</v>
      </c>
      <c r="C34" s="20">
        <f>C27*INPUTS!$C$21</f>
        <v>6030.1438628711358</v>
      </c>
    </row>
    <row r="35" spans="2:5" x14ac:dyDescent="0.2">
      <c r="B35" s="4" t="s">
        <v>104</v>
      </c>
      <c r="C35" s="21">
        <f>C28*INPUTS!$C$21</f>
        <v>2412.0575451484547</v>
      </c>
    </row>
    <row r="36" spans="2:5" x14ac:dyDescent="0.2">
      <c r="B36" s="4" t="s">
        <v>105</v>
      </c>
      <c r="C36" s="20">
        <f>C35*INPUTS!$C$24</f>
        <v>1206.0287725742273</v>
      </c>
      <c r="E36" s="9" t="s">
        <v>106</v>
      </c>
    </row>
    <row r="38" spans="2:5" x14ac:dyDescent="0.2">
      <c r="B38" s="6" t="s">
        <v>107</v>
      </c>
      <c r="C38" s="7"/>
    </row>
    <row r="39" spans="2:5" x14ac:dyDescent="0.2">
      <c r="B39" s="4" t="s">
        <v>108</v>
      </c>
      <c r="C39" s="21">
        <f>IF(C17=0,"",C27/C17)</f>
        <v>187.62361904761906</v>
      </c>
      <c r="E39" s="9" t="s">
        <v>109</v>
      </c>
    </row>
    <row r="40" spans="2:5" x14ac:dyDescent="0.2">
      <c r="B40" s="4" t="s">
        <v>110</v>
      </c>
      <c r="C40" s="21">
        <f>IF(C17=0,"",C33/C17)</f>
        <v>625.41206349206357</v>
      </c>
    </row>
    <row r="42" spans="2:5" x14ac:dyDescent="0.2">
      <c r="B42" s="6" t="s">
        <v>111</v>
      </c>
      <c r="C42" s="7"/>
    </row>
    <row r="43" spans="2:5" x14ac:dyDescent="0.2">
      <c r="B43" s="4" t="s">
        <v>112</v>
      </c>
      <c r="C43" s="22" t="str">
        <f>IF(C17&gt;INPUTS!$C$27,"REVIEW: large property","OK")</f>
        <v>OK</v>
      </c>
    </row>
    <row r="44" spans="2:5" x14ac:dyDescent="0.2">
      <c r="B44" s="4" t="s">
        <v>113</v>
      </c>
      <c r="C44" s="22" t="str">
        <f>IF(C7=0,"REVIEW: no turf entered",IF((C8/C7)&gt;INPUTS!$C$28,"REVIEW: bed-heavy vs turf","OK"))</f>
        <v>OK</v>
      </c>
    </row>
    <row r="45" spans="2:5" x14ac:dyDescent="0.2">
      <c r="B45" s="4" t="s">
        <v>114</v>
      </c>
      <c r="C45" s="22" t="str">
        <f>IF(C33&gt;INPUTS!$C$29,"REVIEW: high-value deal","OK")</f>
        <v>OK</v>
      </c>
    </row>
    <row r="46" spans="2:5" x14ac:dyDescent="0.2">
      <c r="B46" s="4" t="s">
        <v>81</v>
      </c>
      <c r="C46" s="22" t="str">
        <f>IF(C13="Low","REVIEW: low measurement confidence","OK")</f>
        <v>OK</v>
      </c>
    </row>
    <row r="47" spans="2:5" x14ac:dyDescent="0.2">
      <c r="B47" s="4" t="s">
        <v>115</v>
      </c>
      <c r="C47" s="22" t="str">
        <f>IF(C17&gt;=1,IF((C27/C17)&lt;INPUTS!$C$30,"REVIEW: below market floor","OK"),"n/a (small lot)")</f>
        <v>n/a (small lot)</v>
      </c>
    </row>
    <row r="48" spans="2:5" x14ac:dyDescent="0.2">
      <c r="B48" s="4" t="s">
        <v>116</v>
      </c>
      <c r="C48" s="22" t="str">
        <f>IF(C17&gt;=1,IF((C27/C17)&gt;INPUTS!$C$31,"REVIEW: above market ceiling","OK"),"n/a (small lot)")</f>
        <v>n/a (small lot)</v>
      </c>
    </row>
    <row r="50" spans="2:3" ht="16" x14ac:dyDescent="0.2">
      <c r="B50" s="23" t="s">
        <v>117</v>
      </c>
      <c r="C50" s="24" t="str">
        <f>IF(COUNTIF(C43:C48,"REVIEW*")&gt;0,"YES","NO")</f>
        <v>NO</v>
      </c>
    </row>
  </sheetData>
  <dataValidations count="1">
    <dataValidation type="list" sqref="C13" xr:uid="{00000000-0002-0000-0200-000000000000}">
      <formula1>"High,Med,Low"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8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6640625" defaultRowHeight="15" x14ac:dyDescent="0.2"/>
  <cols>
    <col min="1" max="1" width="22" customWidth="1"/>
    <col min="2" max="2" width="20" customWidth="1"/>
    <col min="3" max="3" width="10" customWidth="1"/>
    <col min="4" max="4" width="9" customWidth="1"/>
    <col min="5" max="5" width="8" customWidth="1"/>
    <col min="6" max="6" width="7" customWidth="1"/>
    <col min="7" max="8" width="11" customWidth="1"/>
    <col min="9" max="9" width="9" customWidth="1"/>
    <col min="10" max="10" width="12" customWidth="1"/>
    <col min="11" max="12" width="11" customWidth="1"/>
    <col min="13" max="14" width="10" customWidth="1"/>
    <col min="15" max="15" width="9" customWidth="1"/>
    <col min="16" max="16" width="12" customWidth="1"/>
    <col min="17" max="17" width="13" customWidth="1"/>
    <col min="18" max="18" width="22" customWidth="1"/>
    <col min="19" max="19" width="11" customWidth="1"/>
  </cols>
  <sheetData>
    <row r="1" spans="1:19" ht="16" x14ac:dyDescent="0.2">
      <c r="A1" s="25" t="s">
        <v>118</v>
      </c>
    </row>
    <row r="3" spans="1:19" ht="29" x14ac:dyDescent="0.2">
      <c r="A3" s="26" t="s">
        <v>119</v>
      </c>
      <c r="B3" s="26" t="s">
        <v>67</v>
      </c>
      <c r="C3" s="26" t="s">
        <v>120</v>
      </c>
      <c r="D3" s="26" t="s">
        <v>121</v>
      </c>
      <c r="E3" s="26" t="s">
        <v>122</v>
      </c>
      <c r="F3" s="26" t="s">
        <v>123</v>
      </c>
      <c r="G3" s="26" t="s">
        <v>124</v>
      </c>
      <c r="H3" s="26" t="s">
        <v>125</v>
      </c>
      <c r="I3" s="26" t="s">
        <v>85</v>
      </c>
      <c r="J3" s="26" t="s">
        <v>126</v>
      </c>
      <c r="K3" s="26" t="s">
        <v>127</v>
      </c>
      <c r="L3" s="26" t="s">
        <v>128</v>
      </c>
      <c r="M3" s="26" t="s">
        <v>129</v>
      </c>
      <c r="N3" s="26" t="s">
        <v>130</v>
      </c>
      <c r="O3" s="26" t="s">
        <v>131</v>
      </c>
      <c r="P3" s="26" t="s">
        <v>132</v>
      </c>
      <c r="Q3" s="26" t="s">
        <v>133</v>
      </c>
      <c r="R3" s="26" t="s">
        <v>134</v>
      </c>
      <c r="S3" s="26" t="s">
        <v>135</v>
      </c>
    </row>
    <row r="4" spans="1:19" x14ac:dyDescent="0.2">
      <c r="A4" s="27" t="s">
        <v>136</v>
      </c>
      <c r="B4" s="27" t="s">
        <v>137</v>
      </c>
      <c r="C4" s="27">
        <v>35000</v>
      </c>
      <c r="D4" s="27">
        <v>1500</v>
      </c>
      <c r="E4" s="27">
        <v>20</v>
      </c>
      <c r="F4" s="27">
        <v>6</v>
      </c>
      <c r="G4" s="27">
        <v>1</v>
      </c>
      <c r="H4" s="27" t="s">
        <v>82</v>
      </c>
      <c r="I4" s="15">
        <f t="shared" ref="I4:I28" si="0">IF($C4="","",$C4/43560)</f>
        <v>0.80348943985307619</v>
      </c>
      <c r="J4" s="15">
        <f>IF($C4="","",((I4*INPUTS!$C$11*$G4)+(($D4/1000)*INPUTS!$C$12*$G4)+INPUTS!$C$13+INPUTS!$C$14)/60)</f>
        <v>0.94220997857361488</v>
      </c>
      <c r="K4" s="21">
        <f>IF($C4="","",J4*INPUTS!$C$8)</f>
        <v>90.452157943067022</v>
      </c>
      <c r="L4" s="21">
        <f>IF($C4="","",MAX(K4/(1-INPUTS!$C$18),INPUTS!$C$20))</f>
        <v>150.75359657177839</v>
      </c>
      <c r="M4" s="21">
        <f>IF($C4="","",L4*INPUTS!$C$21/12)</f>
        <v>502.51198857259465</v>
      </c>
      <c r="N4" s="21">
        <f>IF($C4="","",L4*INPUTS!$C$21)</f>
        <v>6030.1438628711358</v>
      </c>
      <c r="O4" s="19">
        <f t="shared" ref="O4:O28" si="1">IF($C4="","",(L4-K4)/L4)</f>
        <v>0.40000000000000008</v>
      </c>
      <c r="P4" s="21">
        <f t="shared" ref="P4:P28" si="2">IF(OR($C4="",I4=0),"",L4/I4)</f>
        <v>187.62361904761906</v>
      </c>
      <c r="Q4" s="21">
        <f>IF($C4="","",(L4-K4)*INPUTS!$C$21*INPUTS!$C$24)</f>
        <v>1206.0287725742273</v>
      </c>
      <c r="R4" s="22" t="str">
        <f>IF($C4="","",TRIM(IF(I4&gt;INPUTS!$C$27,"Large; ","")&amp;IF(AND($C4&gt;0,($D4/$C4)&gt;INPUTS!$C$28),"Bed-heavy; ","")&amp;IF(M4&gt;INPUTS!$C$29,"High-value; ","")&amp;IF($H4="Low","Low-confidence; ","")&amp;IF(AND(I4&gt;=1,IFERROR(L4/I4,0)&lt;INPUTS!$C$30),"Below-market; ","")&amp;IF(AND(I4&gt;=1,IFERROR(L4/I4,0)&gt;INPUTS!$C$31),"Above-market; ","")))</f>
        <v/>
      </c>
      <c r="S4" s="22" t="str">
        <f t="shared" ref="S4:S28" si="3">IF($C4="","",IF(R4="","NO","YES"))</f>
        <v>NO</v>
      </c>
    </row>
    <row r="5" spans="1:19" x14ac:dyDescent="0.2">
      <c r="A5" s="27" t="s">
        <v>138</v>
      </c>
      <c r="B5" s="27" t="s">
        <v>139</v>
      </c>
      <c r="C5" s="27">
        <v>18000</v>
      </c>
      <c r="D5" s="27">
        <v>4000</v>
      </c>
      <c r="E5" s="27">
        <v>45</v>
      </c>
      <c r="F5" s="27">
        <v>12</v>
      </c>
      <c r="G5" s="27">
        <v>1.2</v>
      </c>
      <c r="H5" s="27" t="s">
        <v>82</v>
      </c>
      <c r="I5" s="15">
        <f t="shared" si="0"/>
        <v>0.41322314049586778</v>
      </c>
      <c r="J5" s="15">
        <f>IF($C5="","",((I5*INPUTS!$C$11*$G5)+(($D5/1000)*INPUTS!$C$12*$G5)+INPUTS!$C$13+INPUTS!$C$14)/60)</f>
        <v>0.96738292011019289</v>
      </c>
      <c r="K5" s="21">
        <f>IF($C5="","",J5*INPUTS!$C$8)</f>
        <v>92.86876033057851</v>
      </c>
      <c r="L5" s="21">
        <f>IF($C5="","",MAX(K5/(1-INPUTS!$C$18),INPUTS!$C$20))</f>
        <v>154.78126721763087</v>
      </c>
      <c r="M5" s="21">
        <f>IF($C5="","",L5*INPUTS!$C$21/12)</f>
        <v>515.93755739210292</v>
      </c>
      <c r="N5" s="21">
        <f>IF($C5="","",L5*INPUTS!$C$21)</f>
        <v>6191.250688705235</v>
      </c>
      <c r="O5" s="19">
        <f t="shared" si="1"/>
        <v>0.40000000000000008</v>
      </c>
      <c r="P5" s="21">
        <f t="shared" si="2"/>
        <v>374.57066666666668</v>
      </c>
      <c r="Q5" s="21">
        <f>IF($C5="","",(L5-K5)*INPUTS!$C$21*INPUTS!$C$24)</f>
        <v>1238.2501377410472</v>
      </c>
      <c r="R5" s="22" t="str">
        <f>IF($C5="","",TRIM(IF(I5&gt;INPUTS!$C$27,"Large; ","")&amp;IF(AND($C5&gt;0,($D5/$C5)&gt;INPUTS!$C$28),"Bed-heavy; ","")&amp;IF(M5&gt;INPUTS!$C$29,"High-value; ","")&amp;IF($H5="Low","Low-confidence; ","")&amp;IF(AND(I5&gt;=1,IFERROR(L5/I5,0)&lt;INPUTS!$C$30),"Below-market; ","")&amp;IF(AND(I5&gt;=1,IFERROR(L5/I5,0)&gt;INPUTS!$C$31),"Above-market; ","")))</f>
        <v>Bed-heavy;</v>
      </c>
      <c r="S5" s="22" t="str">
        <f t="shared" si="3"/>
        <v>YES</v>
      </c>
    </row>
    <row r="6" spans="1:19" x14ac:dyDescent="0.2">
      <c r="A6" s="27" t="s">
        <v>140</v>
      </c>
      <c r="B6" s="27" t="s">
        <v>141</v>
      </c>
      <c r="C6" s="27">
        <v>90000</v>
      </c>
      <c r="D6" s="27">
        <v>2000</v>
      </c>
      <c r="E6" s="27">
        <v>15</v>
      </c>
      <c r="F6" s="27">
        <v>10</v>
      </c>
      <c r="G6" s="27">
        <v>1</v>
      </c>
      <c r="H6" s="27" t="s">
        <v>142</v>
      </c>
      <c r="I6" s="15">
        <f t="shared" si="0"/>
        <v>2.0661157024793386</v>
      </c>
      <c r="J6" s="15">
        <f>IF($C6="","",((I6*INPUTS!$C$11*$G6)+(($D6/1000)*INPUTS!$C$12*$G6)+INPUTS!$C$13+INPUTS!$C$14)/60)</f>
        <v>1.7752066115702478</v>
      </c>
      <c r="K6" s="21">
        <f>IF($C6="","",J6*INPUTS!$C$8)</f>
        <v>170.4198347107438</v>
      </c>
      <c r="L6" s="21">
        <f>IF($C6="","",MAX(K6/(1-INPUTS!$C$18),INPUTS!$C$20))</f>
        <v>284.03305785123968</v>
      </c>
      <c r="M6" s="21">
        <f>IF($C6="","",L6*INPUTS!$C$21/12)</f>
        <v>946.77685950413218</v>
      </c>
      <c r="N6" s="21">
        <f>IF($C6="","",L6*INPUTS!$C$21)</f>
        <v>11361.322314049587</v>
      </c>
      <c r="O6" s="19">
        <f t="shared" si="1"/>
        <v>0.4</v>
      </c>
      <c r="P6" s="21">
        <f t="shared" si="2"/>
        <v>137.47200000000001</v>
      </c>
      <c r="Q6" s="21">
        <f>IF($C6="","",(L6-K6)*INPUTS!$C$21*INPUTS!$C$24)</f>
        <v>2272.2644628099174</v>
      </c>
      <c r="R6" s="22" t="str">
        <f>IF($C6="","",TRIM(IF(I6&gt;INPUTS!$C$27,"Large; ","")&amp;IF(AND($C6&gt;0,($D6/$C6)&gt;INPUTS!$C$28),"Bed-heavy; ","")&amp;IF(M6&gt;INPUTS!$C$29,"High-value; ","")&amp;IF($H6="Low","Low-confidence; ","")&amp;IF(AND(I6&gt;=1,IFERROR(L6/I6,0)&lt;INPUTS!$C$30),"Below-market; ","")&amp;IF(AND(I6&gt;=1,IFERROR(L6/I6,0)&gt;INPUTS!$C$31),"Above-market; ","")))</f>
        <v/>
      </c>
      <c r="S6" s="22" t="str">
        <f t="shared" si="3"/>
        <v>NO</v>
      </c>
    </row>
    <row r="7" spans="1:19" x14ac:dyDescent="0.2">
      <c r="A7" s="28"/>
      <c r="B7" s="28"/>
      <c r="C7" s="28"/>
      <c r="D7" s="28"/>
      <c r="E7" s="28"/>
      <c r="F7" s="28"/>
      <c r="G7" s="28"/>
      <c r="H7" s="28"/>
      <c r="I7" s="15" t="str">
        <f t="shared" si="0"/>
        <v/>
      </c>
      <c r="J7" s="15" t="str">
        <f>IF($C7="","",((I7*INPUTS!$C$11*$G7)+(($D7/1000)*INPUTS!$C$12*$G7)+INPUTS!$C$13+INPUTS!$C$14)/60)</f>
        <v/>
      </c>
      <c r="K7" s="21" t="str">
        <f>IF($C7="","",J7*INPUTS!$C$8)</f>
        <v/>
      </c>
      <c r="L7" s="21" t="str">
        <f>IF($C7="","",MAX(K7/(1-INPUTS!$C$18),INPUTS!$C$20))</f>
        <v/>
      </c>
      <c r="M7" s="21" t="str">
        <f>IF($C7="","",L7*INPUTS!$C$21/12)</f>
        <v/>
      </c>
      <c r="N7" s="21" t="str">
        <f>IF($C7="","",L7*INPUTS!$C$21)</f>
        <v/>
      </c>
      <c r="O7" s="19" t="str">
        <f t="shared" si="1"/>
        <v/>
      </c>
      <c r="P7" s="21" t="str">
        <f t="shared" si="2"/>
        <v/>
      </c>
      <c r="Q7" s="21" t="str">
        <f>IF($C7="","",(L7-K7)*INPUTS!$C$21*INPUTS!$C$24)</f>
        <v/>
      </c>
      <c r="R7" s="22" t="str">
        <f>IF($C7="","",TRIM(IF(I7&gt;INPUTS!$C$27,"Large; ","")&amp;IF(AND($C7&gt;0,($D7/$C7)&gt;INPUTS!$C$28),"Bed-heavy; ","")&amp;IF(M7&gt;INPUTS!$C$29,"High-value; ","")&amp;IF($H7="Low","Low-confidence; ","")&amp;IF(AND(I7&gt;=1,IFERROR(L7/I7,0)&lt;INPUTS!$C$30),"Below-market; ","")&amp;IF(AND(I7&gt;=1,IFERROR(L7/I7,0)&gt;INPUTS!$C$31),"Above-market; ","")))</f>
        <v/>
      </c>
      <c r="S7" s="22" t="str">
        <f t="shared" si="3"/>
        <v/>
      </c>
    </row>
    <row r="8" spans="1:19" x14ac:dyDescent="0.2">
      <c r="A8" s="28"/>
      <c r="B8" s="28"/>
      <c r="C8" s="28"/>
      <c r="D8" s="28"/>
      <c r="E8" s="28"/>
      <c r="F8" s="28"/>
      <c r="G8" s="28"/>
      <c r="H8" s="28"/>
      <c r="I8" s="15" t="str">
        <f t="shared" si="0"/>
        <v/>
      </c>
      <c r="J8" s="15" t="str">
        <f>IF($C8="","",((I8*INPUTS!$C$11*$G8)+(($D8/1000)*INPUTS!$C$12*$G8)+INPUTS!$C$13+INPUTS!$C$14)/60)</f>
        <v/>
      </c>
      <c r="K8" s="21" t="str">
        <f>IF($C8="","",J8*INPUTS!$C$8)</f>
        <v/>
      </c>
      <c r="L8" s="21" t="str">
        <f>IF($C8="","",MAX(K8/(1-INPUTS!$C$18),INPUTS!$C$20))</f>
        <v/>
      </c>
      <c r="M8" s="21" t="str">
        <f>IF($C8="","",L8*INPUTS!$C$21/12)</f>
        <v/>
      </c>
      <c r="N8" s="21" t="str">
        <f>IF($C8="","",L8*INPUTS!$C$21)</f>
        <v/>
      </c>
      <c r="O8" s="19" t="str">
        <f t="shared" si="1"/>
        <v/>
      </c>
      <c r="P8" s="21" t="str">
        <f t="shared" si="2"/>
        <v/>
      </c>
      <c r="Q8" s="21" t="str">
        <f>IF($C8="","",(L8-K8)*INPUTS!$C$21*INPUTS!$C$24)</f>
        <v/>
      </c>
      <c r="R8" s="22" t="str">
        <f>IF($C8="","",TRIM(IF(I8&gt;INPUTS!$C$27,"Large; ","")&amp;IF(AND($C8&gt;0,($D8/$C8)&gt;INPUTS!$C$28),"Bed-heavy; ","")&amp;IF(M8&gt;INPUTS!$C$29,"High-value; ","")&amp;IF($H8="Low","Low-confidence; ","")&amp;IF(AND(I8&gt;=1,IFERROR(L8/I8,0)&lt;INPUTS!$C$30),"Below-market; ","")&amp;IF(AND(I8&gt;=1,IFERROR(L8/I8,0)&gt;INPUTS!$C$31),"Above-market; ","")))</f>
        <v/>
      </c>
      <c r="S8" s="22" t="str">
        <f t="shared" si="3"/>
        <v/>
      </c>
    </row>
    <row r="9" spans="1:19" x14ac:dyDescent="0.2">
      <c r="A9" s="28"/>
      <c r="B9" s="28"/>
      <c r="C9" s="28"/>
      <c r="D9" s="28"/>
      <c r="E9" s="28"/>
      <c r="F9" s="28"/>
      <c r="G9" s="28"/>
      <c r="H9" s="28"/>
      <c r="I9" s="15" t="str">
        <f t="shared" si="0"/>
        <v/>
      </c>
      <c r="J9" s="15" t="str">
        <f>IF($C9="","",((I9*INPUTS!$C$11*$G9)+(($D9/1000)*INPUTS!$C$12*$G9)+INPUTS!$C$13+INPUTS!$C$14)/60)</f>
        <v/>
      </c>
      <c r="K9" s="21" t="str">
        <f>IF($C9="","",J9*INPUTS!$C$8)</f>
        <v/>
      </c>
      <c r="L9" s="21" t="str">
        <f>IF($C9="","",MAX(K9/(1-INPUTS!$C$18),INPUTS!$C$20))</f>
        <v/>
      </c>
      <c r="M9" s="21" t="str">
        <f>IF($C9="","",L9*INPUTS!$C$21/12)</f>
        <v/>
      </c>
      <c r="N9" s="21" t="str">
        <f>IF($C9="","",L9*INPUTS!$C$21)</f>
        <v/>
      </c>
      <c r="O9" s="19" t="str">
        <f t="shared" si="1"/>
        <v/>
      </c>
      <c r="P9" s="21" t="str">
        <f t="shared" si="2"/>
        <v/>
      </c>
      <c r="Q9" s="21" t="str">
        <f>IF($C9="","",(L9-K9)*INPUTS!$C$21*INPUTS!$C$24)</f>
        <v/>
      </c>
      <c r="R9" s="22" t="str">
        <f>IF($C9="","",TRIM(IF(I9&gt;INPUTS!$C$27,"Large; ","")&amp;IF(AND($C9&gt;0,($D9/$C9)&gt;INPUTS!$C$28),"Bed-heavy; ","")&amp;IF(M9&gt;INPUTS!$C$29,"High-value; ","")&amp;IF($H9="Low","Low-confidence; ","")&amp;IF(AND(I9&gt;=1,IFERROR(L9/I9,0)&lt;INPUTS!$C$30),"Below-market; ","")&amp;IF(AND(I9&gt;=1,IFERROR(L9/I9,0)&gt;INPUTS!$C$31),"Above-market; ","")))</f>
        <v/>
      </c>
      <c r="S9" s="22" t="str">
        <f t="shared" si="3"/>
        <v/>
      </c>
    </row>
    <row r="10" spans="1:19" x14ac:dyDescent="0.2">
      <c r="A10" s="28"/>
      <c r="B10" s="28"/>
      <c r="C10" s="28"/>
      <c r="D10" s="28"/>
      <c r="E10" s="28"/>
      <c r="F10" s="28"/>
      <c r="G10" s="28"/>
      <c r="H10" s="28"/>
      <c r="I10" s="15" t="str">
        <f t="shared" si="0"/>
        <v/>
      </c>
      <c r="J10" s="15" t="str">
        <f>IF($C10="","",((I10*INPUTS!$C$11*$G10)+(($D10/1000)*INPUTS!$C$12*$G10)+INPUTS!$C$13+INPUTS!$C$14)/60)</f>
        <v/>
      </c>
      <c r="K10" s="21" t="str">
        <f>IF($C10="","",J10*INPUTS!$C$8)</f>
        <v/>
      </c>
      <c r="L10" s="21" t="str">
        <f>IF($C10="","",MAX(K10/(1-INPUTS!$C$18),INPUTS!$C$20))</f>
        <v/>
      </c>
      <c r="M10" s="21" t="str">
        <f>IF($C10="","",L10*INPUTS!$C$21/12)</f>
        <v/>
      </c>
      <c r="N10" s="21" t="str">
        <f>IF($C10="","",L10*INPUTS!$C$21)</f>
        <v/>
      </c>
      <c r="O10" s="19" t="str">
        <f t="shared" si="1"/>
        <v/>
      </c>
      <c r="P10" s="21" t="str">
        <f t="shared" si="2"/>
        <v/>
      </c>
      <c r="Q10" s="21" t="str">
        <f>IF($C10="","",(L10-K10)*INPUTS!$C$21*INPUTS!$C$24)</f>
        <v/>
      </c>
      <c r="R10" s="22" t="str">
        <f>IF($C10="","",TRIM(IF(I10&gt;INPUTS!$C$27,"Large; ","")&amp;IF(AND($C10&gt;0,($D10/$C10)&gt;INPUTS!$C$28),"Bed-heavy; ","")&amp;IF(M10&gt;INPUTS!$C$29,"High-value; ","")&amp;IF($H10="Low","Low-confidence; ","")&amp;IF(AND(I10&gt;=1,IFERROR(L10/I10,0)&lt;INPUTS!$C$30),"Below-market; ","")&amp;IF(AND(I10&gt;=1,IFERROR(L10/I10,0)&gt;INPUTS!$C$31),"Above-market; ","")))</f>
        <v/>
      </c>
      <c r="S10" s="22" t="str">
        <f t="shared" si="3"/>
        <v/>
      </c>
    </row>
    <row r="11" spans="1:19" x14ac:dyDescent="0.2">
      <c r="A11" s="28"/>
      <c r="B11" s="28"/>
      <c r="C11" s="28"/>
      <c r="D11" s="28"/>
      <c r="E11" s="28"/>
      <c r="F11" s="28"/>
      <c r="G11" s="28"/>
      <c r="H11" s="28"/>
      <c r="I11" s="15" t="str">
        <f t="shared" si="0"/>
        <v/>
      </c>
      <c r="J11" s="15" t="str">
        <f>IF($C11="","",((I11*INPUTS!$C$11*$G11)+(($D11/1000)*INPUTS!$C$12*$G11)+INPUTS!$C$13+INPUTS!$C$14)/60)</f>
        <v/>
      </c>
      <c r="K11" s="21" t="str">
        <f>IF($C11="","",J11*INPUTS!$C$8)</f>
        <v/>
      </c>
      <c r="L11" s="21" t="str">
        <f>IF($C11="","",MAX(K11/(1-INPUTS!$C$18),INPUTS!$C$20))</f>
        <v/>
      </c>
      <c r="M11" s="21" t="str">
        <f>IF($C11="","",L11*INPUTS!$C$21/12)</f>
        <v/>
      </c>
      <c r="N11" s="21" t="str">
        <f>IF($C11="","",L11*INPUTS!$C$21)</f>
        <v/>
      </c>
      <c r="O11" s="19" t="str">
        <f t="shared" si="1"/>
        <v/>
      </c>
      <c r="P11" s="21" t="str">
        <f t="shared" si="2"/>
        <v/>
      </c>
      <c r="Q11" s="21" t="str">
        <f>IF($C11="","",(L11-K11)*INPUTS!$C$21*INPUTS!$C$24)</f>
        <v/>
      </c>
      <c r="R11" s="22" t="str">
        <f>IF($C11="","",TRIM(IF(I11&gt;INPUTS!$C$27,"Large; ","")&amp;IF(AND($C11&gt;0,($D11/$C11)&gt;INPUTS!$C$28),"Bed-heavy; ","")&amp;IF(M11&gt;INPUTS!$C$29,"High-value; ","")&amp;IF($H11="Low","Low-confidence; ","")&amp;IF(AND(I11&gt;=1,IFERROR(L11/I11,0)&lt;INPUTS!$C$30),"Below-market; ","")&amp;IF(AND(I11&gt;=1,IFERROR(L11/I11,0)&gt;INPUTS!$C$31),"Above-market; ","")))</f>
        <v/>
      </c>
      <c r="S11" s="22" t="str">
        <f t="shared" si="3"/>
        <v/>
      </c>
    </row>
    <row r="12" spans="1:19" x14ac:dyDescent="0.2">
      <c r="A12" s="28"/>
      <c r="B12" s="28"/>
      <c r="C12" s="28"/>
      <c r="D12" s="28"/>
      <c r="E12" s="28"/>
      <c r="F12" s="28"/>
      <c r="G12" s="28"/>
      <c r="H12" s="28"/>
      <c r="I12" s="15" t="str">
        <f t="shared" si="0"/>
        <v/>
      </c>
      <c r="J12" s="15" t="str">
        <f>IF($C12="","",((I12*INPUTS!$C$11*$G12)+(($D12/1000)*INPUTS!$C$12*$G12)+INPUTS!$C$13+INPUTS!$C$14)/60)</f>
        <v/>
      </c>
      <c r="K12" s="21" t="str">
        <f>IF($C12="","",J12*INPUTS!$C$8)</f>
        <v/>
      </c>
      <c r="L12" s="21" t="str">
        <f>IF($C12="","",MAX(K12/(1-INPUTS!$C$18),INPUTS!$C$20))</f>
        <v/>
      </c>
      <c r="M12" s="21" t="str">
        <f>IF($C12="","",L12*INPUTS!$C$21/12)</f>
        <v/>
      </c>
      <c r="N12" s="21" t="str">
        <f>IF($C12="","",L12*INPUTS!$C$21)</f>
        <v/>
      </c>
      <c r="O12" s="19" t="str">
        <f t="shared" si="1"/>
        <v/>
      </c>
      <c r="P12" s="21" t="str">
        <f t="shared" si="2"/>
        <v/>
      </c>
      <c r="Q12" s="21" t="str">
        <f>IF($C12="","",(L12-K12)*INPUTS!$C$21*INPUTS!$C$24)</f>
        <v/>
      </c>
      <c r="R12" s="22" t="str">
        <f>IF($C12="","",TRIM(IF(I12&gt;INPUTS!$C$27,"Large; ","")&amp;IF(AND($C12&gt;0,($D12/$C12)&gt;INPUTS!$C$28),"Bed-heavy; ","")&amp;IF(M12&gt;INPUTS!$C$29,"High-value; ","")&amp;IF($H12="Low","Low-confidence; ","")&amp;IF(AND(I12&gt;=1,IFERROR(L12/I12,0)&lt;INPUTS!$C$30),"Below-market; ","")&amp;IF(AND(I12&gt;=1,IFERROR(L12/I12,0)&gt;INPUTS!$C$31),"Above-market; ","")))</f>
        <v/>
      </c>
      <c r="S12" s="22" t="str">
        <f t="shared" si="3"/>
        <v/>
      </c>
    </row>
    <row r="13" spans="1:19" x14ac:dyDescent="0.2">
      <c r="A13" s="28"/>
      <c r="B13" s="28"/>
      <c r="C13" s="28"/>
      <c r="D13" s="28"/>
      <c r="E13" s="28"/>
      <c r="F13" s="28"/>
      <c r="G13" s="28"/>
      <c r="H13" s="28"/>
      <c r="I13" s="15" t="str">
        <f t="shared" si="0"/>
        <v/>
      </c>
      <c r="J13" s="15" t="str">
        <f>IF($C13="","",((I13*INPUTS!$C$11*$G13)+(($D13/1000)*INPUTS!$C$12*$G13)+INPUTS!$C$13+INPUTS!$C$14)/60)</f>
        <v/>
      </c>
      <c r="K13" s="21" t="str">
        <f>IF($C13="","",J13*INPUTS!$C$8)</f>
        <v/>
      </c>
      <c r="L13" s="21" t="str">
        <f>IF($C13="","",MAX(K13/(1-INPUTS!$C$18),INPUTS!$C$20))</f>
        <v/>
      </c>
      <c r="M13" s="21" t="str">
        <f>IF($C13="","",L13*INPUTS!$C$21/12)</f>
        <v/>
      </c>
      <c r="N13" s="21" t="str">
        <f>IF($C13="","",L13*INPUTS!$C$21)</f>
        <v/>
      </c>
      <c r="O13" s="19" t="str">
        <f t="shared" si="1"/>
        <v/>
      </c>
      <c r="P13" s="21" t="str">
        <f t="shared" si="2"/>
        <v/>
      </c>
      <c r="Q13" s="21" t="str">
        <f>IF($C13="","",(L13-K13)*INPUTS!$C$21*INPUTS!$C$24)</f>
        <v/>
      </c>
      <c r="R13" s="22" t="str">
        <f>IF($C13="","",TRIM(IF(I13&gt;INPUTS!$C$27,"Large; ","")&amp;IF(AND($C13&gt;0,($D13/$C13)&gt;INPUTS!$C$28),"Bed-heavy; ","")&amp;IF(M13&gt;INPUTS!$C$29,"High-value; ","")&amp;IF($H13="Low","Low-confidence; ","")&amp;IF(AND(I13&gt;=1,IFERROR(L13/I13,0)&lt;INPUTS!$C$30),"Below-market; ","")&amp;IF(AND(I13&gt;=1,IFERROR(L13/I13,0)&gt;INPUTS!$C$31),"Above-market; ","")))</f>
        <v/>
      </c>
      <c r="S13" s="22" t="str">
        <f t="shared" si="3"/>
        <v/>
      </c>
    </row>
    <row r="14" spans="1:19" x14ac:dyDescent="0.2">
      <c r="A14" s="28"/>
      <c r="B14" s="28"/>
      <c r="C14" s="28"/>
      <c r="D14" s="28"/>
      <c r="E14" s="28"/>
      <c r="F14" s="28"/>
      <c r="G14" s="28"/>
      <c r="H14" s="28"/>
      <c r="I14" s="15" t="str">
        <f t="shared" si="0"/>
        <v/>
      </c>
      <c r="J14" s="15" t="str">
        <f>IF($C14="","",((I14*INPUTS!$C$11*$G14)+(($D14/1000)*INPUTS!$C$12*$G14)+INPUTS!$C$13+INPUTS!$C$14)/60)</f>
        <v/>
      </c>
      <c r="K14" s="21" t="str">
        <f>IF($C14="","",J14*INPUTS!$C$8)</f>
        <v/>
      </c>
      <c r="L14" s="21" t="str">
        <f>IF($C14="","",MAX(K14/(1-INPUTS!$C$18),INPUTS!$C$20))</f>
        <v/>
      </c>
      <c r="M14" s="21" t="str">
        <f>IF($C14="","",L14*INPUTS!$C$21/12)</f>
        <v/>
      </c>
      <c r="N14" s="21" t="str">
        <f>IF($C14="","",L14*INPUTS!$C$21)</f>
        <v/>
      </c>
      <c r="O14" s="19" t="str">
        <f t="shared" si="1"/>
        <v/>
      </c>
      <c r="P14" s="21" t="str">
        <f t="shared" si="2"/>
        <v/>
      </c>
      <c r="Q14" s="21" t="str">
        <f>IF($C14="","",(L14-K14)*INPUTS!$C$21*INPUTS!$C$24)</f>
        <v/>
      </c>
      <c r="R14" s="22" t="str">
        <f>IF($C14="","",TRIM(IF(I14&gt;INPUTS!$C$27,"Large; ","")&amp;IF(AND($C14&gt;0,($D14/$C14)&gt;INPUTS!$C$28),"Bed-heavy; ","")&amp;IF(M14&gt;INPUTS!$C$29,"High-value; ","")&amp;IF($H14="Low","Low-confidence; ","")&amp;IF(AND(I14&gt;=1,IFERROR(L14/I14,0)&lt;INPUTS!$C$30),"Below-market; ","")&amp;IF(AND(I14&gt;=1,IFERROR(L14/I14,0)&gt;INPUTS!$C$31),"Above-market; ","")))</f>
        <v/>
      </c>
      <c r="S14" s="22" t="str">
        <f t="shared" si="3"/>
        <v/>
      </c>
    </row>
    <row r="15" spans="1:19" x14ac:dyDescent="0.2">
      <c r="A15" s="28"/>
      <c r="B15" s="28"/>
      <c r="C15" s="28"/>
      <c r="D15" s="28"/>
      <c r="E15" s="28"/>
      <c r="F15" s="28"/>
      <c r="G15" s="28"/>
      <c r="H15" s="28"/>
      <c r="I15" s="15" t="str">
        <f t="shared" si="0"/>
        <v/>
      </c>
      <c r="J15" s="15" t="str">
        <f>IF($C15="","",((I15*INPUTS!$C$11*$G15)+(($D15/1000)*INPUTS!$C$12*$G15)+INPUTS!$C$13+INPUTS!$C$14)/60)</f>
        <v/>
      </c>
      <c r="K15" s="21" t="str">
        <f>IF($C15="","",J15*INPUTS!$C$8)</f>
        <v/>
      </c>
      <c r="L15" s="21" t="str">
        <f>IF($C15="","",MAX(K15/(1-INPUTS!$C$18),INPUTS!$C$20))</f>
        <v/>
      </c>
      <c r="M15" s="21" t="str">
        <f>IF($C15="","",L15*INPUTS!$C$21/12)</f>
        <v/>
      </c>
      <c r="N15" s="21" t="str">
        <f>IF($C15="","",L15*INPUTS!$C$21)</f>
        <v/>
      </c>
      <c r="O15" s="19" t="str">
        <f t="shared" si="1"/>
        <v/>
      </c>
      <c r="P15" s="21" t="str">
        <f t="shared" si="2"/>
        <v/>
      </c>
      <c r="Q15" s="21" t="str">
        <f>IF($C15="","",(L15-K15)*INPUTS!$C$21*INPUTS!$C$24)</f>
        <v/>
      </c>
      <c r="R15" s="22" t="str">
        <f>IF($C15="","",TRIM(IF(I15&gt;INPUTS!$C$27,"Large; ","")&amp;IF(AND($C15&gt;0,($D15/$C15)&gt;INPUTS!$C$28),"Bed-heavy; ","")&amp;IF(M15&gt;INPUTS!$C$29,"High-value; ","")&amp;IF($H15="Low","Low-confidence; ","")&amp;IF(AND(I15&gt;=1,IFERROR(L15/I15,0)&lt;INPUTS!$C$30),"Below-market; ","")&amp;IF(AND(I15&gt;=1,IFERROR(L15/I15,0)&gt;INPUTS!$C$31),"Above-market; ","")))</f>
        <v/>
      </c>
      <c r="S15" s="22" t="str">
        <f t="shared" si="3"/>
        <v/>
      </c>
    </row>
    <row r="16" spans="1:19" x14ac:dyDescent="0.2">
      <c r="A16" s="28"/>
      <c r="B16" s="28"/>
      <c r="C16" s="28"/>
      <c r="D16" s="28"/>
      <c r="E16" s="28"/>
      <c r="F16" s="28"/>
      <c r="G16" s="28"/>
      <c r="H16" s="28"/>
      <c r="I16" s="15" t="str">
        <f t="shared" si="0"/>
        <v/>
      </c>
      <c r="J16" s="15" t="str">
        <f>IF($C16="","",((I16*INPUTS!$C$11*$G16)+(($D16/1000)*INPUTS!$C$12*$G16)+INPUTS!$C$13+INPUTS!$C$14)/60)</f>
        <v/>
      </c>
      <c r="K16" s="21" t="str">
        <f>IF($C16="","",J16*INPUTS!$C$8)</f>
        <v/>
      </c>
      <c r="L16" s="21" t="str">
        <f>IF($C16="","",MAX(K16/(1-INPUTS!$C$18),INPUTS!$C$20))</f>
        <v/>
      </c>
      <c r="M16" s="21" t="str">
        <f>IF($C16="","",L16*INPUTS!$C$21/12)</f>
        <v/>
      </c>
      <c r="N16" s="21" t="str">
        <f>IF($C16="","",L16*INPUTS!$C$21)</f>
        <v/>
      </c>
      <c r="O16" s="19" t="str">
        <f t="shared" si="1"/>
        <v/>
      </c>
      <c r="P16" s="21" t="str">
        <f t="shared" si="2"/>
        <v/>
      </c>
      <c r="Q16" s="21" t="str">
        <f>IF($C16="","",(L16-K16)*INPUTS!$C$21*INPUTS!$C$24)</f>
        <v/>
      </c>
      <c r="R16" s="22" t="str">
        <f>IF($C16="","",TRIM(IF(I16&gt;INPUTS!$C$27,"Large; ","")&amp;IF(AND($C16&gt;0,($D16/$C16)&gt;INPUTS!$C$28),"Bed-heavy; ","")&amp;IF(M16&gt;INPUTS!$C$29,"High-value; ","")&amp;IF($H16="Low","Low-confidence; ","")&amp;IF(AND(I16&gt;=1,IFERROR(L16/I16,0)&lt;INPUTS!$C$30),"Below-market; ","")&amp;IF(AND(I16&gt;=1,IFERROR(L16/I16,0)&gt;INPUTS!$C$31),"Above-market; ","")))</f>
        <v/>
      </c>
      <c r="S16" s="22" t="str">
        <f t="shared" si="3"/>
        <v/>
      </c>
    </row>
    <row r="17" spans="1:19" x14ac:dyDescent="0.2">
      <c r="A17" s="28"/>
      <c r="B17" s="28"/>
      <c r="C17" s="28"/>
      <c r="D17" s="28"/>
      <c r="E17" s="28"/>
      <c r="F17" s="28"/>
      <c r="G17" s="28"/>
      <c r="H17" s="28"/>
      <c r="I17" s="15" t="str">
        <f t="shared" si="0"/>
        <v/>
      </c>
      <c r="J17" s="15" t="str">
        <f>IF($C17="","",((I17*INPUTS!$C$11*$G17)+(($D17/1000)*INPUTS!$C$12*$G17)+INPUTS!$C$13+INPUTS!$C$14)/60)</f>
        <v/>
      </c>
      <c r="K17" s="21" t="str">
        <f>IF($C17="","",J17*INPUTS!$C$8)</f>
        <v/>
      </c>
      <c r="L17" s="21" t="str">
        <f>IF($C17="","",MAX(K17/(1-INPUTS!$C$18),INPUTS!$C$20))</f>
        <v/>
      </c>
      <c r="M17" s="21" t="str">
        <f>IF($C17="","",L17*INPUTS!$C$21/12)</f>
        <v/>
      </c>
      <c r="N17" s="21" t="str">
        <f>IF($C17="","",L17*INPUTS!$C$21)</f>
        <v/>
      </c>
      <c r="O17" s="19" t="str">
        <f t="shared" si="1"/>
        <v/>
      </c>
      <c r="P17" s="21" t="str">
        <f t="shared" si="2"/>
        <v/>
      </c>
      <c r="Q17" s="21" t="str">
        <f>IF($C17="","",(L17-K17)*INPUTS!$C$21*INPUTS!$C$24)</f>
        <v/>
      </c>
      <c r="R17" s="22" t="str">
        <f>IF($C17="","",TRIM(IF(I17&gt;INPUTS!$C$27,"Large; ","")&amp;IF(AND($C17&gt;0,($D17/$C17)&gt;INPUTS!$C$28),"Bed-heavy; ","")&amp;IF(M17&gt;INPUTS!$C$29,"High-value; ","")&amp;IF($H17="Low","Low-confidence; ","")&amp;IF(AND(I17&gt;=1,IFERROR(L17/I17,0)&lt;INPUTS!$C$30),"Below-market; ","")&amp;IF(AND(I17&gt;=1,IFERROR(L17/I17,0)&gt;INPUTS!$C$31),"Above-market; ","")))</f>
        <v/>
      </c>
      <c r="S17" s="22" t="str">
        <f t="shared" si="3"/>
        <v/>
      </c>
    </row>
    <row r="18" spans="1:19" x14ac:dyDescent="0.2">
      <c r="A18" s="28"/>
      <c r="B18" s="28"/>
      <c r="C18" s="28"/>
      <c r="D18" s="28"/>
      <c r="E18" s="28"/>
      <c r="F18" s="28"/>
      <c r="G18" s="28"/>
      <c r="H18" s="28"/>
      <c r="I18" s="15" t="str">
        <f t="shared" si="0"/>
        <v/>
      </c>
      <c r="J18" s="15" t="str">
        <f>IF($C18="","",((I18*INPUTS!$C$11*$G18)+(($D18/1000)*INPUTS!$C$12*$G18)+INPUTS!$C$13+INPUTS!$C$14)/60)</f>
        <v/>
      </c>
      <c r="K18" s="21" t="str">
        <f>IF($C18="","",J18*INPUTS!$C$8)</f>
        <v/>
      </c>
      <c r="L18" s="21" t="str">
        <f>IF($C18="","",MAX(K18/(1-INPUTS!$C$18),INPUTS!$C$20))</f>
        <v/>
      </c>
      <c r="M18" s="21" t="str">
        <f>IF($C18="","",L18*INPUTS!$C$21/12)</f>
        <v/>
      </c>
      <c r="N18" s="21" t="str">
        <f>IF($C18="","",L18*INPUTS!$C$21)</f>
        <v/>
      </c>
      <c r="O18" s="19" t="str">
        <f t="shared" si="1"/>
        <v/>
      </c>
      <c r="P18" s="21" t="str">
        <f t="shared" si="2"/>
        <v/>
      </c>
      <c r="Q18" s="21" t="str">
        <f>IF($C18="","",(L18-K18)*INPUTS!$C$21*INPUTS!$C$24)</f>
        <v/>
      </c>
      <c r="R18" s="22" t="str">
        <f>IF($C18="","",TRIM(IF(I18&gt;INPUTS!$C$27,"Large; ","")&amp;IF(AND($C18&gt;0,($D18/$C18)&gt;INPUTS!$C$28),"Bed-heavy; ","")&amp;IF(M18&gt;INPUTS!$C$29,"High-value; ","")&amp;IF($H18="Low","Low-confidence; ","")&amp;IF(AND(I18&gt;=1,IFERROR(L18/I18,0)&lt;INPUTS!$C$30),"Below-market; ","")&amp;IF(AND(I18&gt;=1,IFERROR(L18/I18,0)&gt;INPUTS!$C$31),"Above-market; ","")))</f>
        <v/>
      </c>
      <c r="S18" s="22" t="str">
        <f t="shared" si="3"/>
        <v/>
      </c>
    </row>
    <row r="19" spans="1:19" x14ac:dyDescent="0.2">
      <c r="A19" s="28"/>
      <c r="B19" s="28"/>
      <c r="C19" s="28"/>
      <c r="D19" s="28"/>
      <c r="E19" s="28"/>
      <c r="F19" s="28"/>
      <c r="G19" s="28"/>
      <c r="H19" s="28"/>
      <c r="I19" s="15" t="str">
        <f t="shared" si="0"/>
        <v/>
      </c>
      <c r="J19" s="15" t="str">
        <f>IF($C19="","",((I19*INPUTS!$C$11*$G19)+(($D19/1000)*INPUTS!$C$12*$G19)+INPUTS!$C$13+INPUTS!$C$14)/60)</f>
        <v/>
      </c>
      <c r="K19" s="21" t="str">
        <f>IF($C19="","",J19*INPUTS!$C$8)</f>
        <v/>
      </c>
      <c r="L19" s="21" t="str">
        <f>IF($C19="","",MAX(K19/(1-INPUTS!$C$18),INPUTS!$C$20))</f>
        <v/>
      </c>
      <c r="M19" s="21" t="str">
        <f>IF($C19="","",L19*INPUTS!$C$21/12)</f>
        <v/>
      </c>
      <c r="N19" s="21" t="str">
        <f>IF($C19="","",L19*INPUTS!$C$21)</f>
        <v/>
      </c>
      <c r="O19" s="19" t="str">
        <f t="shared" si="1"/>
        <v/>
      </c>
      <c r="P19" s="21" t="str">
        <f t="shared" si="2"/>
        <v/>
      </c>
      <c r="Q19" s="21" t="str">
        <f>IF($C19="","",(L19-K19)*INPUTS!$C$21*INPUTS!$C$24)</f>
        <v/>
      </c>
      <c r="R19" s="22" t="str">
        <f>IF($C19="","",TRIM(IF(I19&gt;INPUTS!$C$27,"Large; ","")&amp;IF(AND($C19&gt;0,($D19/$C19)&gt;INPUTS!$C$28),"Bed-heavy; ","")&amp;IF(M19&gt;INPUTS!$C$29,"High-value; ","")&amp;IF($H19="Low","Low-confidence; ","")&amp;IF(AND(I19&gt;=1,IFERROR(L19/I19,0)&lt;INPUTS!$C$30),"Below-market; ","")&amp;IF(AND(I19&gt;=1,IFERROR(L19/I19,0)&gt;INPUTS!$C$31),"Above-market; ","")))</f>
        <v/>
      </c>
      <c r="S19" s="22" t="str">
        <f t="shared" si="3"/>
        <v/>
      </c>
    </row>
    <row r="20" spans="1:19" x14ac:dyDescent="0.2">
      <c r="A20" s="28"/>
      <c r="B20" s="28"/>
      <c r="C20" s="28"/>
      <c r="D20" s="28"/>
      <c r="E20" s="28"/>
      <c r="F20" s="28"/>
      <c r="G20" s="28"/>
      <c r="H20" s="28"/>
      <c r="I20" s="15" t="str">
        <f t="shared" si="0"/>
        <v/>
      </c>
      <c r="J20" s="15" t="str">
        <f>IF($C20="","",((I20*INPUTS!$C$11*$G20)+(($D20/1000)*INPUTS!$C$12*$G20)+INPUTS!$C$13+INPUTS!$C$14)/60)</f>
        <v/>
      </c>
      <c r="K20" s="21" t="str">
        <f>IF($C20="","",J20*INPUTS!$C$8)</f>
        <v/>
      </c>
      <c r="L20" s="21" t="str">
        <f>IF($C20="","",MAX(K20/(1-INPUTS!$C$18),INPUTS!$C$20))</f>
        <v/>
      </c>
      <c r="M20" s="21" t="str">
        <f>IF($C20="","",L20*INPUTS!$C$21/12)</f>
        <v/>
      </c>
      <c r="N20" s="21" t="str">
        <f>IF($C20="","",L20*INPUTS!$C$21)</f>
        <v/>
      </c>
      <c r="O20" s="19" t="str">
        <f t="shared" si="1"/>
        <v/>
      </c>
      <c r="P20" s="21" t="str">
        <f t="shared" si="2"/>
        <v/>
      </c>
      <c r="Q20" s="21" t="str">
        <f>IF($C20="","",(L20-K20)*INPUTS!$C$21*INPUTS!$C$24)</f>
        <v/>
      </c>
      <c r="R20" s="22" t="str">
        <f>IF($C20="","",TRIM(IF(I20&gt;INPUTS!$C$27,"Large; ","")&amp;IF(AND($C20&gt;0,($D20/$C20)&gt;INPUTS!$C$28),"Bed-heavy; ","")&amp;IF(M20&gt;INPUTS!$C$29,"High-value; ","")&amp;IF($H20="Low","Low-confidence; ","")&amp;IF(AND(I20&gt;=1,IFERROR(L20/I20,0)&lt;INPUTS!$C$30),"Below-market; ","")&amp;IF(AND(I20&gt;=1,IFERROR(L20/I20,0)&gt;INPUTS!$C$31),"Above-market; ","")))</f>
        <v/>
      </c>
      <c r="S20" s="22" t="str">
        <f t="shared" si="3"/>
        <v/>
      </c>
    </row>
    <row r="21" spans="1:19" x14ac:dyDescent="0.2">
      <c r="A21" s="28"/>
      <c r="B21" s="28"/>
      <c r="C21" s="28"/>
      <c r="D21" s="28"/>
      <c r="E21" s="28"/>
      <c r="F21" s="28"/>
      <c r="G21" s="28"/>
      <c r="H21" s="28"/>
      <c r="I21" s="15" t="str">
        <f t="shared" si="0"/>
        <v/>
      </c>
      <c r="J21" s="15" t="str">
        <f>IF($C21="","",((I21*INPUTS!$C$11*$G21)+(($D21/1000)*INPUTS!$C$12*$G21)+INPUTS!$C$13+INPUTS!$C$14)/60)</f>
        <v/>
      </c>
      <c r="K21" s="21" t="str">
        <f>IF($C21="","",J21*INPUTS!$C$8)</f>
        <v/>
      </c>
      <c r="L21" s="21" t="str">
        <f>IF($C21="","",MAX(K21/(1-INPUTS!$C$18),INPUTS!$C$20))</f>
        <v/>
      </c>
      <c r="M21" s="21" t="str">
        <f>IF($C21="","",L21*INPUTS!$C$21/12)</f>
        <v/>
      </c>
      <c r="N21" s="21" t="str">
        <f>IF($C21="","",L21*INPUTS!$C$21)</f>
        <v/>
      </c>
      <c r="O21" s="19" t="str">
        <f t="shared" si="1"/>
        <v/>
      </c>
      <c r="P21" s="21" t="str">
        <f t="shared" si="2"/>
        <v/>
      </c>
      <c r="Q21" s="21" t="str">
        <f>IF($C21="","",(L21-K21)*INPUTS!$C$21*INPUTS!$C$24)</f>
        <v/>
      </c>
      <c r="R21" s="22" t="str">
        <f>IF($C21="","",TRIM(IF(I21&gt;INPUTS!$C$27,"Large; ","")&amp;IF(AND($C21&gt;0,($D21/$C21)&gt;INPUTS!$C$28),"Bed-heavy; ","")&amp;IF(M21&gt;INPUTS!$C$29,"High-value; ","")&amp;IF($H21="Low","Low-confidence; ","")&amp;IF(AND(I21&gt;=1,IFERROR(L21/I21,0)&lt;INPUTS!$C$30),"Below-market; ","")&amp;IF(AND(I21&gt;=1,IFERROR(L21/I21,0)&gt;INPUTS!$C$31),"Above-market; ","")))</f>
        <v/>
      </c>
      <c r="S21" s="22" t="str">
        <f t="shared" si="3"/>
        <v/>
      </c>
    </row>
    <row r="22" spans="1:19" x14ac:dyDescent="0.2">
      <c r="A22" s="28"/>
      <c r="B22" s="28"/>
      <c r="C22" s="28"/>
      <c r="D22" s="28"/>
      <c r="E22" s="28"/>
      <c r="F22" s="28"/>
      <c r="G22" s="28"/>
      <c r="H22" s="28"/>
      <c r="I22" s="15" t="str">
        <f t="shared" si="0"/>
        <v/>
      </c>
      <c r="J22" s="15" t="str">
        <f>IF($C22="","",((I22*INPUTS!$C$11*$G22)+(($D22/1000)*INPUTS!$C$12*$G22)+INPUTS!$C$13+INPUTS!$C$14)/60)</f>
        <v/>
      </c>
      <c r="K22" s="21" t="str">
        <f>IF($C22="","",J22*INPUTS!$C$8)</f>
        <v/>
      </c>
      <c r="L22" s="21" t="str">
        <f>IF($C22="","",MAX(K22/(1-INPUTS!$C$18),INPUTS!$C$20))</f>
        <v/>
      </c>
      <c r="M22" s="21" t="str">
        <f>IF($C22="","",L22*INPUTS!$C$21/12)</f>
        <v/>
      </c>
      <c r="N22" s="21" t="str">
        <f>IF($C22="","",L22*INPUTS!$C$21)</f>
        <v/>
      </c>
      <c r="O22" s="19" t="str">
        <f t="shared" si="1"/>
        <v/>
      </c>
      <c r="P22" s="21" t="str">
        <f t="shared" si="2"/>
        <v/>
      </c>
      <c r="Q22" s="21" t="str">
        <f>IF($C22="","",(L22-K22)*INPUTS!$C$21*INPUTS!$C$24)</f>
        <v/>
      </c>
      <c r="R22" s="22" t="str">
        <f>IF($C22="","",TRIM(IF(I22&gt;INPUTS!$C$27,"Large; ","")&amp;IF(AND($C22&gt;0,($D22/$C22)&gt;INPUTS!$C$28),"Bed-heavy; ","")&amp;IF(M22&gt;INPUTS!$C$29,"High-value; ","")&amp;IF($H22="Low","Low-confidence; ","")&amp;IF(AND(I22&gt;=1,IFERROR(L22/I22,0)&lt;INPUTS!$C$30),"Below-market; ","")&amp;IF(AND(I22&gt;=1,IFERROR(L22/I22,0)&gt;INPUTS!$C$31),"Above-market; ","")))</f>
        <v/>
      </c>
      <c r="S22" s="22" t="str">
        <f t="shared" si="3"/>
        <v/>
      </c>
    </row>
    <row r="23" spans="1:19" x14ac:dyDescent="0.2">
      <c r="A23" s="28"/>
      <c r="B23" s="28"/>
      <c r="C23" s="28"/>
      <c r="D23" s="28"/>
      <c r="E23" s="28"/>
      <c r="F23" s="28"/>
      <c r="G23" s="28"/>
      <c r="H23" s="28"/>
      <c r="I23" s="15" t="str">
        <f t="shared" si="0"/>
        <v/>
      </c>
      <c r="J23" s="15" t="str">
        <f>IF($C23="","",((I23*INPUTS!$C$11*$G23)+(($D23/1000)*INPUTS!$C$12*$G23)+INPUTS!$C$13+INPUTS!$C$14)/60)</f>
        <v/>
      </c>
      <c r="K23" s="21" t="str">
        <f>IF($C23="","",J23*INPUTS!$C$8)</f>
        <v/>
      </c>
      <c r="L23" s="21" t="str">
        <f>IF($C23="","",MAX(K23/(1-INPUTS!$C$18),INPUTS!$C$20))</f>
        <v/>
      </c>
      <c r="M23" s="21" t="str">
        <f>IF($C23="","",L23*INPUTS!$C$21/12)</f>
        <v/>
      </c>
      <c r="N23" s="21" t="str">
        <f>IF($C23="","",L23*INPUTS!$C$21)</f>
        <v/>
      </c>
      <c r="O23" s="19" t="str">
        <f t="shared" si="1"/>
        <v/>
      </c>
      <c r="P23" s="21" t="str">
        <f t="shared" si="2"/>
        <v/>
      </c>
      <c r="Q23" s="21" t="str">
        <f>IF($C23="","",(L23-K23)*INPUTS!$C$21*INPUTS!$C$24)</f>
        <v/>
      </c>
      <c r="R23" s="22" t="str">
        <f>IF($C23="","",TRIM(IF(I23&gt;INPUTS!$C$27,"Large; ","")&amp;IF(AND($C23&gt;0,($D23/$C23)&gt;INPUTS!$C$28),"Bed-heavy; ","")&amp;IF(M23&gt;INPUTS!$C$29,"High-value; ","")&amp;IF($H23="Low","Low-confidence; ","")&amp;IF(AND(I23&gt;=1,IFERROR(L23/I23,0)&lt;INPUTS!$C$30),"Below-market; ","")&amp;IF(AND(I23&gt;=1,IFERROR(L23/I23,0)&gt;INPUTS!$C$31),"Above-market; ","")))</f>
        <v/>
      </c>
      <c r="S23" s="22" t="str">
        <f t="shared" si="3"/>
        <v/>
      </c>
    </row>
    <row r="24" spans="1:19" x14ac:dyDescent="0.2">
      <c r="A24" s="28"/>
      <c r="B24" s="28"/>
      <c r="C24" s="28"/>
      <c r="D24" s="28"/>
      <c r="E24" s="28"/>
      <c r="F24" s="28"/>
      <c r="G24" s="28"/>
      <c r="H24" s="28"/>
      <c r="I24" s="15" t="str">
        <f t="shared" si="0"/>
        <v/>
      </c>
      <c r="J24" s="15" t="str">
        <f>IF($C24="","",((I24*INPUTS!$C$11*$G24)+(($D24/1000)*INPUTS!$C$12*$G24)+INPUTS!$C$13+INPUTS!$C$14)/60)</f>
        <v/>
      </c>
      <c r="K24" s="21" t="str">
        <f>IF($C24="","",J24*INPUTS!$C$8)</f>
        <v/>
      </c>
      <c r="L24" s="21" t="str">
        <f>IF($C24="","",MAX(K24/(1-INPUTS!$C$18),INPUTS!$C$20))</f>
        <v/>
      </c>
      <c r="M24" s="21" t="str">
        <f>IF($C24="","",L24*INPUTS!$C$21/12)</f>
        <v/>
      </c>
      <c r="N24" s="21" t="str">
        <f>IF($C24="","",L24*INPUTS!$C$21)</f>
        <v/>
      </c>
      <c r="O24" s="19" t="str">
        <f t="shared" si="1"/>
        <v/>
      </c>
      <c r="P24" s="21" t="str">
        <f t="shared" si="2"/>
        <v/>
      </c>
      <c r="Q24" s="21" t="str">
        <f>IF($C24="","",(L24-K24)*INPUTS!$C$21*INPUTS!$C$24)</f>
        <v/>
      </c>
      <c r="R24" s="22" t="str">
        <f>IF($C24="","",TRIM(IF(I24&gt;INPUTS!$C$27,"Large; ","")&amp;IF(AND($C24&gt;0,($D24/$C24)&gt;INPUTS!$C$28),"Bed-heavy; ","")&amp;IF(M24&gt;INPUTS!$C$29,"High-value; ","")&amp;IF($H24="Low","Low-confidence; ","")&amp;IF(AND(I24&gt;=1,IFERROR(L24/I24,0)&lt;INPUTS!$C$30),"Below-market; ","")&amp;IF(AND(I24&gt;=1,IFERROR(L24/I24,0)&gt;INPUTS!$C$31),"Above-market; ","")))</f>
        <v/>
      </c>
      <c r="S24" s="22" t="str">
        <f t="shared" si="3"/>
        <v/>
      </c>
    </row>
    <row r="25" spans="1:19" x14ac:dyDescent="0.2">
      <c r="A25" s="28"/>
      <c r="B25" s="28"/>
      <c r="C25" s="28"/>
      <c r="D25" s="28"/>
      <c r="E25" s="28"/>
      <c r="F25" s="28"/>
      <c r="G25" s="28"/>
      <c r="H25" s="28"/>
      <c r="I25" s="15" t="str">
        <f t="shared" si="0"/>
        <v/>
      </c>
      <c r="J25" s="15" t="str">
        <f>IF($C25="","",((I25*INPUTS!$C$11*$G25)+(($D25/1000)*INPUTS!$C$12*$G25)+INPUTS!$C$13+INPUTS!$C$14)/60)</f>
        <v/>
      </c>
      <c r="K25" s="21" t="str">
        <f>IF($C25="","",J25*INPUTS!$C$8)</f>
        <v/>
      </c>
      <c r="L25" s="21" t="str">
        <f>IF($C25="","",MAX(K25/(1-INPUTS!$C$18),INPUTS!$C$20))</f>
        <v/>
      </c>
      <c r="M25" s="21" t="str">
        <f>IF($C25="","",L25*INPUTS!$C$21/12)</f>
        <v/>
      </c>
      <c r="N25" s="21" t="str">
        <f>IF($C25="","",L25*INPUTS!$C$21)</f>
        <v/>
      </c>
      <c r="O25" s="19" t="str">
        <f t="shared" si="1"/>
        <v/>
      </c>
      <c r="P25" s="21" t="str">
        <f t="shared" si="2"/>
        <v/>
      </c>
      <c r="Q25" s="21" t="str">
        <f>IF($C25="","",(L25-K25)*INPUTS!$C$21*INPUTS!$C$24)</f>
        <v/>
      </c>
      <c r="R25" s="22" t="str">
        <f>IF($C25="","",TRIM(IF(I25&gt;INPUTS!$C$27,"Large; ","")&amp;IF(AND($C25&gt;0,($D25/$C25)&gt;INPUTS!$C$28),"Bed-heavy; ","")&amp;IF(M25&gt;INPUTS!$C$29,"High-value; ","")&amp;IF($H25="Low","Low-confidence; ","")&amp;IF(AND(I25&gt;=1,IFERROR(L25/I25,0)&lt;INPUTS!$C$30),"Below-market; ","")&amp;IF(AND(I25&gt;=1,IFERROR(L25/I25,0)&gt;INPUTS!$C$31),"Above-market; ","")))</f>
        <v/>
      </c>
      <c r="S25" s="22" t="str">
        <f t="shared" si="3"/>
        <v/>
      </c>
    </row>
    <row r="26" spans="1:19" x14ac:dyDescent="0.2">
      <c r="A26" s="28"/>
      <c r="B26" s="28"/>
      <c r="C26" s="28"/>
      <c r="D26" s="28"/>
      <c r="E26" s="28"/>
      <c r="F26" s="28"/>
      <c r="G26" s="28"/>
      <c r="H26" s="28"/>
      <c r="I26" s="15" t="str">
        <f t="shared" si="0"/>
        <v/>
      </c>
      <c r="J26" s="15" t="str">
        <f>IF($C26="","",((I26*INPUTS!$C$11*$G26)+(($D26/1000)*INPUTS!$C$12*$G26)+INPUTS!$C$13+INPUTS!$C$14)/60)</f>
        <v/>
      </c>
      <c r="K26" s="21" t="str">
        <f>IF($C26="","",J26*INPUTS!$C$8)</f>
        <v/>
      </c>
      <c r="L26" s="21" t="str">
        <f>IF($C26="","",MAX(K26/(1-INPUTS!$C$18),INPUTS!$C$20))</f>
        <v/>
      </c>
      <c r="M26" s="21" t="str">
        <f>IF($C26="","",L26*INPUTS!$C$21/12)</f>
        <v/>
      </c>
      <c r="N26" s="21" t="str">
        <f>IF($C26="","",L26*INPUTS!$C$21)</f>
        <v/>
      </c>
      <c r="O26" s="19" t="str">
        <f t="shared" si="1"/>
        <v/>
      </c>
      <c r="P26" s="21" t="str">
        <f t="shared" si="2"/>
        <v/>
      </c>
      <c r="Q26" s="21" t="str">
        <f>IF($C26="","",(L26-K26)*INPUTS!$C$21*INPUTS!$C$24)</f>
        <v/>
      </c>
      <c r="R26" s="22" t="str">
        <f>IF($C26="","",TRIM(IF(I26&gt;INPUTS!$C$27,"Large; ","")&amp;IF(AND($C26&gt;0,($D26/$C26)&gt;INPUTS!$C$28),"Bed-heavy; ","")&amp;IF(M26&gt;INPUTS!$C$29,"High-value; ","")&amp;IF($H26="Low","Low-confidence; ","")&amp;IF(AND(I26&gt;=1,IFERROR(L26/I26,0)&lt;INPUTS!$C$30),"Below-market; ","")&amp;IF(AND(I26&gt;=1,IFERROR(L26/I26,0)&gt;INPUTS!$C$31),"Above-market; ","")))</f>
        <v/>
      </c>
      <c r="S26" s="22" t="str">
        <f t="shared" si="3"/>
        <v/>
      </c>
    </row>
    <row r="27" spans="1:19" x14ac:dyDescent="0.2">
      <c r="A27" s="28"/>
      <c r="B27" s="28"/>
      <c r="C27" s="28"/>
      <c r="D27" s="28"/>
      <c r="E27" s="28"/>
      <c r="F27" s="28"/>
      <c r="G27" s="28"/>
      <c r="H27" s="28"/>
      <c r="I27" s="15" t="str">
        <f t="shared" si="0"/>
        <v/>
      </c>
      <c r="J27" s="15" t="str">
        <f>IF($C27="","",((I27*INPUTS!$C$11*$G27)+(($D27/1000)*INPUTS!$C$12*$G27)+INPUTS!$C$13+INPUTS!$C$14)/60)</f>
        <v/>
      </c>
      <c r="K27" s="21" t="str">
        <f>IF($C27="","",J27*INPUTS!$C$8)</f>
        <v/>
      </c>
      <c r="L27" s="21" t="str">
        <f>IF($C27="","",MAX(K27/(1-INPUTS!$C$18),INPUTS!$C$20))</f>
        <v/>
      </c>
      <c r="M27" s="21" t="str">
        <f>IF($C27="","",L27*INPUTS!$C$21/12)</f>
        <v/>
      </c>
      <c r="N27" s="21" t="str">
        <f>IF($C27="","",L27*INPUTS!$C$21)</f>
        <v/>
      </c>
      <c r="O27" s="19" t="str">
        <f t="shared" si="1"/>
        <v/>
      </c>
      <c r="P27" s="21" t="str">
        <f t="shared" si="2"/>
        <v/>
      </c>
      <c r="Q27" s="21" t="str">
        <f>IF($C27="","",(L27-K27)*INPUTS!$C$21*INPUTS!$C$24)</f>
        <v/>
      </c>
      <c r="R27" s="22" t="str">
        <f>IF($C27="","",TRIM(IF(I27&gt;INPUTS!$C$27,"Large; ","")&amp;IF(AND($C27&gt;0,($D27/$C27)&gt;INPUTS!$C$28),"Bed-heavy; ","")&amp;IF(M27&gt;INPUTS!$C$29,"High-value; ","")&amp;IF($H27="Low","Low-confidence; ","")&amp;IF(AND(I27&gt;=1,IFERROR(L27/I27,0)&lt;INPUTS!$C$30),"Below-market; ","")&amp;IF(AND(I27&gt;=1,IFERROR(L27/I27,0)&gt;INPUTS!$C$31),"Above-market; ","")))</f>
        <v/>
      </c>
      <c r="S27" s="22" t="str">
        <f t="shared" si="3"/>
        <v/>
      </c>
    </row>
    <row r="28" spans="1:19" x14ac:dyDescent="0.2">
      <c r="A28" s="28"/>
      <c r="B28" s="28"/>
      <c r="C28" s="28"/>
      <c r="D28" s="28"/>
      <c r="E28" s="28"/>
      <c r="F28" s="28"/>
      <c r="G28" s="28"/>
      <c r="H28" s="28"/>
      <c r="I28" s="15" t="str">
        <f t="shared" si="0"/>
        <v/>
      </c>
      <c r="J28" s="15" t="str">
        <f>IF($C28="","",((I28*INPUTS!$C$11*$G28)+(($D28/1000)*INPUTS!$C$12*$G28)+INPUTS!$C$13+INPUTS!$C$14)/60)</f>
        <v/>
      </c>
      <c r="K28" s="21" t="str">
        <f>IF($C28="","",J28*INPUTS!$C$8)</f>
        <v/>
      </c>
      <c r="L28" s="21" t="str">
        <f>IF($C28="","",MAX(K28/(1-INPUTS!$C$18),INPUTS!$C$20))</f>
        <v/>
      </c>
      <c r="M28" s="21" t="str">
        <f>IF($C28="","",L28*INPUTS!$C$21/12)</f>
        <v/>
      </c>
      <c r="N28" s="21" t="str">
        <f>IF($C28="","",L28*INPUTS!$C$21)</f>
        <v/>
      </c>
      <c r="O28" s="19" t="str">
        <f t="shared" si="1"/>
        <v/>
      </c>
      <c r="P28" s="21" t="str">
        <f t="shared" si="2"/>
        <v/>
      </c>
      <c r="Q28" s="21" t="str">
        <f>IF($C28="","",(L28-K28)*INPUTS!$C$21*INPUTS!$C$24)</f>
        <v/>
      </c>
      <c r="R28" s="22" t="str">
        <f>IF($C28="","",TRIM(IF(I28&gt;INPUTS!$C$27,"Large; ","")&amp;IF(AND($C28&gt;0,($D28/$C28)&gt;INPUTS!$C$28),"Bed-heavy; ","")&amp;IF(M28&gt;INPUTS!$C$29,"High-value; ","")&amp;IF($H28="Low","Low-confidence; ","")&amp;IF(AND(I28&gt;=1,IFERROR(L28/I28,0)&lt;INPUTS!$C$30),"Below-market; ","")&amp;IF(AND(I28&gt;=1,IFERROR(L28/I28,0)&gt;INPUTS!$C$31),"Above-market; ","")))</f>
        <v/>
      </c>
      <c r="S28" s="22" t="str">
        <f t="shared" si="3"/>
        <v/>
      </c>
    </row>
  </sheetData>
  <dataValidations count="1">
    <dataValidation type="list" allowBlank="1" sqref="H4:H28" xr:uid="{00000000-0002-0000-0300-000000000000}">
      <formula1>"High,Med,Low"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16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50" customWidth="1"/>
    <col min="3" max="3" width="30" customWidth="1"/>
    <col min="4" max="4" width="55" customWidth="1"/>
  </cols>
  <sheetData>
    <row r="2" spans="2:4" ht="18" x14ac:dyDescent="0.2">
      <c r="B2" s="5" t="s">
        <v>143</v>
      </c>
    </row>
    <row r="4" spans="2:4" x14ac:dyDescent="0.2">
      <c r="B4" s="29" t="s">
        <v>144</v>
      </c>
      <c r="C4" s="29" t="s">
        <v>145</v>
      </c>
      <c r="D4" s="29" t="s">
        <v>146</v>
      </c>
    </row>
    <row r="5" spans="2:4" x14ac:dyDescent="0.2">
      <c r="B5" s="30" t="s">
        <v>147</v>
      </c>
      <c r="C5" s="31" t="s">
        <v>148</v>
      </c>
      <c r="D5" s="32" t="s">
        <v>149</v>
      </c>
    </row>
    <row r="6" spans="2:4" x14ac:dyDescent="0.2">
      <c r="B6" s="30" t="s">
        <v>150</v>
      </c>
      <c r="C6" s="31" t="s">
        <v>151</v>
      </c>
      <c r="D6" s="32" t="s">
        <v>152</v>
      </c>
    </row>
    <row r="7" spans="2:4" x14ac:dyDescent="0.2">
      <c r="B7" s="30" t="s">
        <v>153</v>
      </c>
      <c r="C7" s="31" t="s">
        <v>154</v>
      </c>
      <c r="D7" s="32" t="s">
        <v>155</v>
      </c>
    </row>
    <row r="8" spans="2:4" x14ac:dyDescent="0.2">
      <c r="B8" s="30" t="s">
        <v>156</v>
      </c>
      <c r="C8" s="31" t="s">
        <v>157</v>
      </c>
      <c r="D8" s="32" t="s">
        <v>158</v>
      </c>
    </row>
    <row r="9" spans="2:4" x14ac:dyDescent="0.2">
      <c r="B9" s="30" t="s">
        <v>159</v>
      </c>
      <c r="C9" s="31" t="s">
        <v>160</v>
      </c>
      <c r="D9" s="32" t="s">
        <v>161</v>
      </c>
    </row>
    <row r="10" spans="2:4" x14ac:dyDescent="0.2">
      <c r="B10" s="30" t="s">
        <v>162</v>
      </c>
      <c r="C10" s="31" t="s">
        <v>163</v>
      </c>
      <c r="D10" s="32" t="s">
        <v>164</v>
      </c>
    </row>
    <row r="11" spans="2:4" x14ac:dyDescent="0.2">
      <c r="B11" s="30" t="s">
        <v>165</v>
      </c>
      <c r="C11" s="31" t="s">
        <v>166</v>
      </c>
      <c r="D11" s="32" t="s">
        <v>164</v>
      </c>
    </row>
    <row r="12" spans="2:4" x14ac:dyDescent="0.2">
      <c r="B12" s="30" t="s">
        <v>167</v>
      </c>
      <c r="C12" s="31" t="s">
        <v>168</v>
      </c>
      <c r="D12" s="32" t="s">
        <v>169</v>
      </c>
    </row>
    <row r="13" spans="2:4" x14ac:dyDescent="0.2">
      <c r="B13" s="30" t="s">
        <v>170</v>
      </c>
      <c r="C13" s="31" t="s">
        <v>171</v>
      </c>
      <c r="D13" s="32" t="s">
        <v>172</v>
      </c>
    </row>
    <row r="14" spans="2:4" x14ac:dyDescent="0.2">
      <c r="B14" s="30" t="s">
        <v>173</v>
      </c>
      <c r="C14" s="31" t="s">
        <v>174</v>
      </c>
      <c r="D14" s="32" t="s">
        <v>175</v>
      </c>
    </row>
    <row r="16" spans="2:4" x14ac:dyDescent="0.2">
      <c r="B16" s="33" t="s">
        <v>176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INPUTS</vt:lpstr>
      <vt:lpstr>PROPERTY CALCULATOR</vt:lpstr>
      <vt:lpstr>BATCH PIPELINE</vt:lpstr>
      <vt:lpstr>MARKET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Cole Kutschinski</cp:lastModifiedBy>
  <cp:revision>0</cp:revision>
  <dcterms:created xsi:type="dcterms:W3CDTF">2026-06-25T19:10:36Z</dcterms:created>
  <dcterms:modified xsi:type="dcterms:W3CDTF">2026-06-25T19:49:03Z</dcterms:modified>
  <dc:language>en-US</dc:language>
</cp:coreProperties>
</file>